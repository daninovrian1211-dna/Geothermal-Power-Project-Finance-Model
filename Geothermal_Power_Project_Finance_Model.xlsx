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NA\Portfolio\Geothermal Finance Modelling\"/>
    </mc:Choice>
  </mc:AlternateContent>
  <xr:revisionPtr revIDLastSave="0" documentId="13_ncr:1_{ACA7D097-93CB-4218-BF24-FDEAB55D8CC9}" xr6:coauthVersionLast="47" xr6:coauthVersionMax="47" xr10:uidLastSave="{00000000-0000-0000-0000-000000000000}"/>
  <bookViews>
    <workbookView xWindow="-108" yWindow="-108" windowWidth="23256" windowHeight="12456" tabRatio="645" activeTab="1" xr2:uid="{00000000-000D-0000-FFFF-FFFF00000000}"/>
  </bookViews>
  <sheets>
    <sheet name="Assumptions" sheetId="1" r:id="rId1"/>
    <sheet name="CAPEX_SU" sheetId="2" r:id="rId2"/>
    <sheet name="Revenue_OPEX" sheetId="3" r:id="rId3"/>
    <sheet name="Tax" sheetId="4" r:id="rId4"/>
    <sheet name="Project_CF" sheetId="5" r:id="rId5"/>
    <sheet name="Debt" sheetId="6" r:id="rId6"/>
    <sheet name="Equity" sheetId="7" r:id="rId7"/>
    <sheet name="Dashboard" sheetId="8" r:id="rId8"/>
  </sheets>
  <calcPr calcId="191029" iterate="1" iterateCount="999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8" l="1"/>
  <c r="G22" i="8"/>
  <c r="G21" i="8"/>
  <c r="G18" i="8"/>
  <c r="C18" i="8"/>
  <c r="C17" i="8"/>
  <c r="C16" i="8"/>
  <c r="G15" i="8"/>
  <c r="G14" i="8"/>
  <c r="G13" i="8"/>
  <c r="C13" i="8"/>
  <c r="G12" i="8"/>
  <c r="C12" i="8"/>
  <c r="C18" i="6"/>
  <c r="C17" i="6"/>
  <c r="C16" i="6"/>
  <c r="D69" i="1"/>
  <c r="D68" i="1"/>
  <c r="D7" i="2" s="1"/>
  <c r="D67" i="1"/>
  <c r="D66" i="1"/>
  <c r="E65" i="1"/>
  <c r="B28" i="1"/>
  <c r="B19" i="1"/>
  <c r="B15" i="1"/>
  <c r="C14" i="8" s="1"/>
  <c r="B7" i="1"/>
  <c r="D6" i="2" l="1"/>
  <c r="D6" i="7"/>
  <c r="D12" i="7" s="1"/>
  <c r="D73" i="1"/>
  <c r="D10" i="4" s="1"/>
  <c r="D11" i="4" s="1"/>
  <c r="D72" i="1"/>
  <c r="D9" i="4" s="1"/>
  <c r="D6" i="6"/>
  <c r="D6" i="5"/>
  <c r="D6" i="4"/>
  <c r="D6" i="3"/>
  <c r="D71" i="1"/>
  <c r="D10" i="3" s="1"/>
  <c r="D70" i="1"/>
  <c r="D7" i="6" s="1"/>
  <c r="D9" i="2"/>
  <c r="D10" i="2" s="1"/>
  <c r="D13" i="2"/>
  <c r="D14" i="2"/>
  <c r="D5" i="7"/>
  <c r="D5" i="6"/>
  <c r="D5" i="5"/>
  <c r="D5" i="2"/>
  <c r="D5" i="4"/>
  <c r="D5" i="3"/>
  <c r="D4" i="3"/>
  <c r="D4" i="7"/>
  <c r="D4" i="6"/>
  <c r="D4" i="5"/>
  <c r="D4" i="4"/>
  <c r="D4" i="2"/>
  <c r="E66" i="1"/>
  <c r="F65" i="1"/>
  <c r="E68" i="1"/>
  <c r="E69" i="1"/>
  <c r="C21" i="8"/>
  <c r="B10" i="1"/>
  <c r="C15" i="8"/>
  <c r="D12" i="4" l="1"/>
  <c r="D13" i="4"/>
  <c r="D15" i="5" s="1"/>
  <c r="D9" i="3"/>
  <c r="D12" i="3" s="1"/>
  <c r="D15" i="3"/>
  <c r="D11" i="3"/>
  <c r="D11" i="6"/>
  <c r="E4" i="2"/>
  <c r="E4" i="4"/>
  <c r="E4" i="5"/>
  <c r="E4" i="6"/>
  <c r="E4" i="7"/>
  <c r="E4" i="3"/>
  <c r="G65" i="1"/>
  <c r="F66" i="1"/>
  <c r="F69" i="1"/>
  <c r="F68" i="1"/>
  <c r="E7" i="2"/>
  <c r="E67" i="1"/>
  <c r="E73" i="1"/>
  <c r="E10" i="4" s="1"/>
  <c r="E11" i="4" s="1"/>
  <c r="E6" i="2"/>
  <c r="E6" i="3"/>
  <c r="E71" i="1"/>
  <c r="E10" i="3" s="1"/>
  <c r="E72" i="1"/>
  <c r="E9" i="4" s="1"/>
  <c r="E6" i="5"/>
  <c r="E6" i="6"/>
  <c r="E70" i="1"/>
  <c r="E7" i="6" s="1"/>
  <c r="E11" i="6" s="1"/>
  <c r="E6" i="4"/>
  <c r="E6" i="7"/>
  <c r="E12" i="7" s="1"/>
  <c r="D11" i="2"/>
  <c r="D9" i="5" s="1"/>
  <c r="D12" i="2"/>
  <c r="D15" i="2"/>
  <c r="D12" i="5" l="1"/>
  <c r="D20" i="5" s="1"/>
  <c r="D16" i="3"/>
  <c r="D17" i="3" s="1"/>
  <c r="D12" i="6"/>
  <c r="D13" i="6"/>
  <c r="D22" i="6"/>
  <c r="D24" i="6"/>
  <c r="H65" i="1"/>
  <c r="G66" i="1"/>
  <c r="G68" i="1"/>
  <c r="G69" i="1"/>
  <c r="F4" i="5"/>
  <c r="F4" i="6"/>
  <c r="F4" i="2"/>
  <c r="F4" i="7"/>
  <c r="F4" i="3"/>
  <c r="F4" i="4"/>
  <c r="F72" i="1"/>
  <c r="F9" i="4" s="1"/>
  <c r="F6" i="3"/>
  <c r="F71" i="1"/>
  <c r="F10" i="3" s="1"/>
  <c r="F6" i="4"/>
  <c r="F70" i="1"/>
  <c r="F7" i="6" s="1"/>
  <c r="F73" i="1"/>
  <c r="F10" i="4" s="1"/>
  <c r="F11" i="4" s="1"/>
  <c r="F6" i="2"/>
  <c r="F6" i="5"/>
  <c r="F6" i="6"/>
  <c r="F6" i="7"/>
  <c r="F12" i="7" s="1"/>
  <c r="F7" i="2"/>
  <c r="F67" i="1"/>
  <c r="E9" i="2"/>
  <c r="E10" i="2" s="1"/>
  <c r="E13" i="2"/>
  <c r="E14" i="2"/>
  <c r="E5" i="4"/>
  <c r="E5" i="5"/>
  <c r="E5" i="6"/>
  <c r="E5" i="2"/>
  <c r="E5" i="3"/>
  <c r="E5" i="7"/>
  <c r="E11" i="3"/>
  <c r="E9" i="3"/>
  <c r="E12" i="3" s="1"/>
  <c r="E15" i="3"/>
  <c r="E12" i="6"/>
  <c r="E13" i="6"/>
  <c r="E24" i="6"/>
  <c r="E22" i="6"/>
  <c r="E12" i="4"/>
  <c r="E13" i="4"/>
  <c r="E15" i="5" s="1"/>
  <c r="D26" i="6" l="1"/>
  <c r="D23" i="6"/>
  <c r="I65" i="1"/>
  <c r="H66" i="1"/>
  <c r="H69" i="1"/>
  <c r="H68" i="1"/>
  <c r="G4" i="5"/>
  <c r="G4" i="6"/>
  <c r="G4" i="7"/>
  <c r="G4" i="3"/>
  <c r="G4" i="4"/>
  <c r="G4" i="2"/>
  <c r="G7" i="2"/>
  <c r="G67" i="1"/>
  <c r="G70" i="1"/>
  <c r="G7" i="6" s="1"/>
  <c r="G11" i="6" s="1"/>
  <c r="G73" i="1"/>
  <c r="G10" i="4" s="1"/>
  <c r="G11" i="4" s="1"/>
  <c r="G72" i="1"/>
  <c r="G9" i="4" s="1"/>
  <c r="G6" i="3"/>
  <c r="G6" i="5"/>
  <c r="G6" i="6"/>
  <c r="G6" i="7"/>
  <c r="G71" i="1"/>
  <c r="G10" i="3" s="1"/>
  <c r="G6" i="2"/>
  <c r="G6" i="4"/>
  <c r="F9" i="3"/>
  <c r="F12" i="3" s="1"/>
  <c r="F11" i="3"/>
  <c r="F15" i="3"/>
  <c r="F13" i="4"/>
  <c r="F15" i="5" s="1"/>
  <c r="F12" i="4"/>
  <c r="F11" i="6"/>
  <c r="F9" i="2"/>
  <c r="F10" i="2" s="1"/>
  <c r="F13" i="2"/>
  <c r="F5" i="2"/>
  <c r="F5" i="3"/>
  <c r="F5" i="5"/>
  <c r="F5" i="6"/>
  <c r="F5" i="4"/>
  <c r="F5" i="7"/>
  <c r="E11" i="2"/>
  <c r="E9" i="5" s="1"/>
  <c r="E12" i="2"/>
  <c r="E15" i="2" s="1"/>
  <c r="E12" i="5"/>
  <c r="E20" i="5" s="1"/>
  <c r="E16" i="3"/>
  <c r="E17" i="3"/>
  <c r="E26" i="6"/>
  <c r="E23" i="6"/>
  <c r="E14" i="6"/>
  <c r="D14" i="6"/>
  <c r="D19" i="3"/>
  <c r="D13" i="5"/>
  <c r="D17" i="5" l="1"/>
  <c r="D25" i="6"/>
  <c r="D17" i="4"/>
  <c r="J65" i="1"/>
  <c r="I66" i="1"/>
  <c r="I68" i="1"/>
  <c r="I69" i="1"/>
  <c r="H4" i="2"/>
  <c r="H4" i="3"/>
  <c r="H4" i="5"/>
  <c r="H4" i="6"/>
  <c r="H4" i="7"/>
  <c r="H4" i="4"/>
  <c r="H70" i="1"/>
  <c r="H7" i="6" s="1"/>
  <c r="H72" i="1"/>
  <c r="H9" i="4" s="1"/>
  <c r="H73" i="1"/>
  <c r="H10" i="4" s="1"/>
  <c r="H11" i="4" s="1"/>
  <c r="H6" i="7"/>
  <c r="H6" i="2"/>
  <c r="H6" i="3"/>
  <c r="H6" i="4"/>
  <c r="H71" i="1"/>
  <c r="H10" i="3" s="1"/>
  <c r="H6" i="5"/>
  <c r="H6" i="6"/>
  <c r="H67" i="1"/>
  <c r="H7" i="2"/>
  <c r="G9" i="2"/>
  <c r="G10" i="2" s="1"/>
  <c r="G13" i="2"/>
  <c r="G14" i="2"/>
  <c r="G5" i="4"/>
  <c r="G5" i="5"/>
  <c r="G5" i="6"/>
  <c r="G5" i="2"/>
  <c r="G5" i="3"/>
  <c r="G5" i="7"/>
  <c r="G13" i="6"/>
  <c r="G35" i="4"/>
  <c r="G24" i="5" s="1"/>
  <c r="G25" i="4"/>
  <c r="G18" i="5" s="1"/>
  <c r="G9" i="3"/>
  <c r="G11" i="3"/>
  <c r="G15" i="3"/>
  <c r="G13" i="4"/>
  <c r="G15" i="5" s="1"/>
  <c r="G12" i="4"/>
  <c r="F12" i="5"/>
  <c r="F20" i="5" s="1"/>
  <c r="F17" i="3"/>
  <c r="F16" i="3"/>
  <c r="F12" i="6"/>
  <c r="F13" i="6"/>
  <c r="F22" i="6"/>
  <c r="F24" i="6"/>
  <c r="F11" i="2"/>
  <c r="E25" i="6"/>
  <c r="E17" i="4"/>
  <c r="E17" i="5"/>
  <c r="D16" i="4"/>
  <c r="D14" i="5"/>
  <c r="E13" i="5"/>
  <c r="E19" i="3"/>
  <c r="D27" i="6" l="1"/>
  <c r="D11" i="7"/>
  <c r="K65" i="1"/>
  <c r="J66" i="1"/>
  <c r="J69" i="1"/>
  <c r="J68" i="1"/>
  <c r="I4" i="5"/>
  <c r="I4" i="6"/>
  <c r="I4" i="7"/>
  <c r="I4" i="4"/>
  <c r="I4" i="2"/>
  <c r="I4" i="3"/>
  <c r="I7" i="2"/>
  <c r="I67" i="1"/>
  <c r="I70" i="1"/>
  <c r="I7" i="6" s="1"/>
  <c r="I11" i="6" s="1"/>
  <c r="I72" i="1"/>
  <c r="I9" i="4" s="1"/>
  <c r="I73" i="1"/>
  <c r="I10" i="4" s="1"/>
  <c r="I11" i="4" s="1"/>
  <c r="I6" i="2"/>
  <c r="I6" i="5"/>
  <c r="I6" i="6"/>
  <c r="I6" i="7"/>
  <c r="I71" i="1"/>
  <c r="I10" i="3" s="1"/>
  <c r="I6" i="3"/>
  <c r="I6" i="4"/>
  <c r="H11" i="6"/>
  <c r="H35" i="4"/>
  <c r="H24" i="5" s="1"/>
  <c r="H25" i="4"/>
  <c r="H18" i="5" s="1"/>
  <c r="H9" i="3"/>
  <c r="H11" i="3"/>
  <c r="H15" i="3"/>
  <c r="H13" i="4"/>
  <c r="H15" i="5" s="1"/>
  <c r="H12" i="4"/>
  <c r="H5" i="2"/>
  <c r="H5" i="4"/>
  <c r="H5" i="5"/>
  <c r="H5" i="6"/>
  <c r="H5" i="7"/>
  <c r="H5" i="3"/>
  <c r="H9" i="2"/>
  <c r="H10" i="2" s="1"/>
  <c r="H13" i="2"/>
  <c r="H14" i="2"/>
  <c r="G9" i="5"/>
  <c r="G11" i="2"/>
  <c r="G15" i="2" s="1"/>
  <c r="G12" i="2"/>
  <c r="G16" i="3"/>
  <c r="G17" i="3"/>
  <c r="G13" i="5" s="1"/>
  <c r="F26" i="6"/>
  <c r="F23" i="6"/>
  <c r="E27" i="6"/>
  <c r="E11" i="7"/>
  <c r="D28" i="4"/>
  <c r="D18" i="4"/>
  <c r="D16" i="5"/>
  <c r="E14" i="5"/>
  <c r="E16" i="4"/>
  <c r="G12" i="3"/>
  <c r="F14" i="6"/>
  <c r="F13" i="5"/>
  <c r="F19" i="3"/>
  <c r="F12" i="2"/>
  <c r="F9" i="5" s="1"/>
  <c r="L65" i="1" l="1"/>
  <c r="K66" i="1"/>
  <c r="K68" i="1"/>
  <c r="K69" i="1"/>
  <c r="J4" i="4"/>
  <c r="J4" i="5"/>
  <c r="J4" i="6"/>
  <c r="J4" i="2"/>
  <c r="J4" i="3"/>
  <c r="J4" i="7"/>
  <c r="J70" i="1"/>
  <c r="J7" i="6" s="1"/>
  <c r="J11" i="6" s="1"/>
  <c r="J72" i="1"/>
  <c r="J9" i="4" s="1"/>
  <c r="J6" i="2"/>
  <c r="J73" i="1"/>
  <c r="J10" i="4" s="1"/>
  <c r="J11" i="4" s="1"/>
  <c r="J6" i="4"/>
  <c r="J71" i="1"/>
  <c r="J10" i="3" s="1"/>
  <c r="J6" i="3"/>
  <c r="J6" i="5"/>
  <c r="J6" i="6"/>
  <c r="J6" i="7"/>
  <c r="J7" i="2"/>
  <c r="J67" i="1"/>
  <c r="I9" i="2"/>
  <c r="I10" i="2" s="1"/>
  <c r="I13" i="2"/>
  <c r="I14" i="2"/>
  <c r="I5" i="2"/>
  <c r="I5" i="4"/>
  <c r="I5" i="3"/>
  <c r="I5" i="5"/>
  <c r="I5" i="6"/>
  <c r="I5" i="7"/>
  <c r="I13" i="6"/>
  <c r="I25" i="4"/>
  <c r="I18" i="5" s="1"/>
  <c r="I35" i="4"/>
  <c r="I24" i="5" s="1"/>
  <c r="I9" i="3"/>
  <c r="I15" i="3"/>
  <c r="I11" i="3"/>
  <c r="I13" i="4"/>
  <c r="I15" i="5" s="1"/>
  <c r="I12" i="4"/>
  <c r="H13" i="6"/>
  <c r="H16" i="3"/>
  <c r="H17" i="3" s="1"/>
  <c r="H13" i="5" s="1"/>
  <c r="H11" i="2"/>
  <c r="F17" i="4"/>
  <c r="F17" i="5"/>
  <c r="F25" i="6"/>
  <c r="D30" i="4"/>
  <c r="D32" i="4" s="1"/>
  <c r="E29" i="4" s="1"/>
  <c r="D31" i="4"/>
  <c r="D33" i="4" s="1"/>
  <c r="D34" i="4" s="1"/>
  <c r="D35" i="4" s="1"/>
  <c r="D24" i="5" s="1"/>
  <c r="D25" i="5" s="1"/>
  <c r="D26" i="5" s="1"/>
  <c r="D17" i="7" s="1"/>
  <c r="D20" i="4"/>
  <c r="D22" i="4" s="1"/>
  <c r="E19" i="4" s="1"/>
  <c r="D21" i="4"/>
  <c r="D23" i="4" s="1"/>
  <c r="D24" i="4" s="1"/>
  <c r="D25" i="4" s="1"/>
  <c r="D18" i="5" s="1"/>
  <c r="E16" i="5"/>
  <c r="E18" i="4"/>
  <c r="E28" i="4"/>
  <c r="G16" i="8"/>
  <c r="G19" i="3"/>
  <c r="G12" i="5"/>
  <c r="G20" i="5" s="1"/>
  <c r="F16" i="4"/>
  <c r="F14" i="5"/>
  <c r="H12" i="3"/>
  <c r="M65" i="1" l="1"/>
  <c r="L66" i="1"/>
  <c r="L69" i="1"/>
  <c r="L68" i="1"/>
  <c r="K4" i="2"/>
  <c r="K4" i="3"/>
  <c r="K4" i="5"/>
  <c r="K4" i="6"/>
  <c r="K4" i="7"/>
  <c r="K4" i="4"/>
  <c r="K67" i="1"/>
  <c r="K7" i="2"/>
  <c r="K70" i="1"/>
  <c r="K7" i="6" s="1"/>
  <c r="K11" i="6" s="1"/>
  <c r="K6" i="2"/>
  <c r="K72" i="1"/>
  <c r="K9" i="4" s="1"/>
  <c r="K6" i="5"/>
  <c r="K6" i="6"/>
  <c r="K71" i="1"/>
  <c r="K10" i="3" s="1"/>
  <c r="K73" i="1"/>
  <c r="K10" i="4" s="1"/>
  <c r="K11" i="4" s="1"/>
  <c r="K6" i="3"/>
  <c r="K6" i="4"/>
  <c r="K6" i="7"/>
  <c r="J13" i="6"/>
  <c r="J35" i="4"/>
  <c r="J24" i="5" s="1"/>
  <c r="J25" i="4"/>
  <c r="J18" i="5" s="1"/>
  <c r="J12" i="4"/>
  <c r="J13" i="4"/>
  <c r="J15" i="5" s="1"/>
  <c r="J9" i="3"/>
  <c r="J11" i="3"/>
  <c r="J15" i="3"/>
  <c r="J9" i="2"/>
  <c r="J10" i="2" s="1"/>
  <c r="J13" i="2"/>
  <c r="J14" i="2"/>
  <c r="J5" i="5"/>
  <c r="J5" i="6"/>
  <c r="J5" i="2"/>
  <c r="J5" i="3"/>
  <c r="J5" i="4"/>
  <c r="J5" i="7"/>
  <c r="I11" i="2"/>
  <c r="I15" i="2"/>
  <c r="I12" i="2"/>
  <c r="I9" i="5" s="1"/>
  <c r="I16" i="3"/>
  <c r="I17" i="3" s="1"/>
  <c r="I13" i="5" s="1"/>
  <c r="F27" i="6"/>
  <c r="F11" i="7"/>
  <c r="D21" i="5"/>
  <c r="D19" i="5"/>
  <c r="E20" i="4"/>
  <c r="E22" i="4" s="1"/>
  <c r="F19" i="4" s="1"/>
  <c r="E21" i="4"/>
  <c r="E23" i="4" s="1"/>
  <c r="E24" i="4" s="1"/>
  <c r="E25" i="4" s="1"/>
  <c r="E18" i="5" s="1"/>
  <c r="E30" i="4"/>
  <c r="E32" i="4" s="1"/>
  <c r="F29" i="4" s="1"/>
  <c r="E31" i="4"/>
  <c r="E33" i="4" s="1"/>
  <c r="E34" i="4" s="1"/>
  <c r="E35" i="4" s="1"/>
  <c r="E24" i="5" s="1"/>
  <c r="E25" i="5" s="1"/>
  <c r="E26" i="5" s="1"/>
  <c r="E17" i="7" s="1"/>
  <c r="G17" i="8"/>
  <c r="G16" i="4"/>
  <c r="G14" i="5"/>
  <c r="F18" i="4"/>
  <c r="F28" i="4"/>
  <c r="F16" i="5"/>
  <c r="H12" i="5"/>
  <c r="H20" i="5" s="1"/>
  <c r="H19" i="3"/>
  <c r="I12" i="3"/>
  <c r="H12" i="2"/>
  <c r="H9" i="5" s="1"/>
  <c r="H15" i="2"/>
  <c r="N65" i="1" l="1"/>
  <c r="M66" i="1"/>
  <c r="M68" i="1"/>
  <c r="M69" i="1"/>
  <c r="L4" i="5"/>
  <c r="L4" i="6"/>
  <c r="L4" i="4"/>
  <c r="L4" i="7"/>
  <c r="L4" i="2"/>
  <c r="L4" i="3"/>
  <c r="L72" i="1"/>
  <c r="L9" i="4" s="1"/>
  <c r="L6" i="4"/>
  <c r="L70" i="1"/>
  <c r="L7" i="6" s="1"/>
  <c r="L11" i="6" s="1"/>
  <c r="L71" i="1"/>
  <c r="L10" i="3" s="1"/>
  <c r="L73" i="1"/>
  <c r="L10" i="4" s="1"/>
  <c r="L11" i="4" s="1"/>
  <c r="L6" i="2"/>
  <c r="L6" i="3"/>
  <c r="L6" i="5"/>
  <c r="L6" i="6"/>
  <c r="L6" i="7"/>
  <c r="L7" i="2"/>
  <c r="L67" i="1"/>
  <c r="K5" i="4"/>
  <c r="K5" i="5"/>
  <c r="K5" i="6"/>
  <c r="K5" i="7"/>
  <c r="K5" i="2"/>
  <c r="K5" i="3"/>
  <c r="K13" i="2"/>
  <c r="K14" i="2"/>
  <c r="K9" i="2"/>
  <c r="K10" i="2" s="1"/>
  <c r="K13" i="6"/>
  <c r="K35" i="4"/>
  <c r="K24" i="5" s="1"/>
  <c r="K25" i="4"/>
  <c r="K18" i="5" s="1"/>
  <c r="K11" i="3"/>
  <c r="K15" i="3"/>
  <c r="K9" i="3"/>
  <c r="K12" i="4"/>
  <c r="K13" i="4"/>
  <c r="K15" i="5" s="1"/>
  <c r="J16" i="3"/>
  <c r="J17" i="3" s="1"/>
  <c r="J13" i="5" s="1"/>
  <c r="J11" i="2"/>
  <c r="J9" i="5" s="1"/>
  <c r="J15" i="2"/>
  <c r="J12" i="2"/>
  <c r="D10" i="7"/>
  <c r="D10" i="6"/>
  <c r="E19" i="5"/>
  <c r="E21" i="5"/>
  <c r="G28" i="4"/>
  <c r="G16" i="5"/>
  <c r="G19" i="5"/>
  <c r="G21" i="5"/>
  <c r="G25" i="5"/>
  <c r="G26" i="5" s="1"/>
  <c r="G17" i="7" s="1"/>
  <c r="F21" i="4"/>
  <c r="F23" i="4" s="1"/>
  <c r="F24" i="4" s="1"/>
  <c r="F25" i="4" s="1"/>
  <c r="F18" i="5" s="1"/>
  <c r="F20" i="4"/>
  <c r="F22" i="4" s="1"/>
  <c r="G19" i="4" s="1"/>
  <c r="F31" i="4"/>
  <c r="F33" i="4" s="1"/>
  <c r="F34" i="4" s="1"/>
  <c r="F35" i="4" s="1"/>
  <c r="F24" i="5" s="1"/>
  <c r="F25" i="5" s="1"/>
  <c r="F26" i="5" s="1"/>
  <c r="F17" i="7" s="1"/>
  <c r="F30" i="4"/>
  <c r="F32" i="4" s="1"/>
  <c r="G29" i="4" s="1"/>
  <c r="H16" i="4"/>
  <c r="H14" i="5"/>
  <c r="I12" i="5"/>
  <c r="I20" i="5" s="1"/>
  <c r="I19" i="3"/>
  <c r="J12" i="3"/>
  <c r="O65" i="1" l="1"/>
  <c r="N66" i="1"/>
  <c r="N69" i="1"/>
  <c r="N68" i="1"/>
  <c r="M4" i="4"/>
  <c r="M4" i="5"/>
  <c r="M4" i="6"/>
  <c r="M4" i="7"/>
  <c r="M4" i="2"/>
  <c r="M4" i="3"/>
  <c r="M7" i="2"/>
  <c r="M67" i="1"/>
  <c r="M6" i="3"/>
  <c r="M72" i="1"/>
  <c r="M9" i="4" s="1"/>
  <c r="M6" i="5"/>
  <c r="M6" i="6"/>
  <c r="M70" i="1"/>
  <c r="M7" i="6" s="1"/>
  <c r="M11" i="6" s="1"/>
  <c r="M71" i="1"/>
  <c r="M10" i="3" s="1"/>
  <c r="M73" i="1"/>
  <c r="M10" i="4" s="1"/>
  <c r="M11" i="4" s="1"/>
  <c r="M6" i="2"/>
  <c r="M6" i="4"/>
  <c r="M6" i="7"/>
  <c r="L12" i="4"/>
  <c r="L13" i="4"/>
  <c r="L15" i="5" s="1"/>
  <c r="L13" i="6"/>
  <c r="L9" i="3"/>
  <c r="L11" i="3"/>
  <c r="L9" i="2"/>
  <c r="L10" i="2" s="1"/>
  <c r="L13" i="2"/>
  <c r="L14" i="2"/>
  <c r="L5" i="4"/>
  <c r="L5" i="2"/>
  <c r="L5" i="5"/>
  <c r="L5" i="6"/>
  <c r="L5" i="3"/>
  <c r="L5" i="7"/>
  <c r="K11" i="2"/>
  <c r="K9" i="5" s="1"/>
  <c r="K15" i="2"/>
  <c r="K12" i="2"/>
  <c r="K16" i="3"/>
  <c r="K17" i="3" s="1"/>
  <c r="K13" i="5" s="1"/>
  <c r="E10" i="7"/>
  <c r="E10" i="6"/>
  <c r="G30" i="4"/>
  <c r="G32" i="4" s="1"/>
  <c r="H29" i="4" s="1"/>
  <c r="G31" i="4"/>
  <c r="G33" i="4" s="1"/>
  <c r="G34" i="4" s="1"/>
  <c r="G10" i="6"/>
  <c r="G12" i="6" s="1"/>
  <c r="G10" i="7"/>
  <c r="F19" i="5"/>
  <c r="F21" i="5"/>
  <c r="H28" i="4"/>
  <c r="H16" i="5"/>
  <c r="H19" i="5"/>
  <c r="H21" i="5"/>
  <c r="H25" i="5"/>
  <c r="H26" i="5" s="1"/>
  <c r="H17" i="7" s="1"/>
  <c r="I16" i="4"/>
  <c r="I14" i="5"/>
  <c r="J19" i="3"/>
  <c r="J12" i="5"/>
  <c r="J20" i="5" s="1"/>
  <c r="K12" i="3"/>
  <c r="P65" i="1" l="1"/>
  <c r="O66" i="1"/>
  <c r="O68" i="1"/>
  <c r="O69" i="1"/>
  <c r="N4" i="3"/>
  <c r="N4" i="5"/>
  <c r="N4" i="6"/>
  <c r="N4" i="7"/>
  <c r="N4" i="2"/>
  <c r="N4" i="4"/>
  <c r="N72" i="1"/>
  <c r="N9" i="4" s="1"/>
  <c r="N6" i="3"/>
  <c r="N70" i="1"/>
  <c r="N7" i="6" s="1"/>
  <c r="N11" i="6" s="1"/>
  <c r="N73" i="1"/>
  <c r="N10" i="4" s="1"/>
  <c r="N11" i="4" s="1"/>
  <c r="N6" i="2"/>
  <c r="N6" i="4"/>
  <c r="N71" i="1"/>
  <c r="N10" i="3" s="1"/>
  <c r="N6" i="5"/>
  <c r="N6" i="6"/>
  <c r="N6" i="7"/>
  <c r="N7" i="2"/>
  <c r="N67" i="1"/>
  <c r="M9" i="2"/>
  <c r="M10" i="2" s="1"/>
  <c r="M13" i="2"/>
  <c r="M14" i="2"/>
  <c r="M5" i="3"/>
  <c r="M5" i="5"/>
  <c r="M5" i="6"/>
  <c r="M5" i="2"/>
  <c r="M5" i="4"/>
  <c r="M5" i="7"/>
  <c r="M9" i="3"/>
  <c r="M11" i="3"/>
  <c r="M13" i="6"/>
  <c r="M12" i="4"/>
  <c r="M13" i="4"/>
  <c r="M15" i="5" s="1"/>
  <c r="L11" i="2"/>
  <c r="L12" i="2" s="1"/>
  <c r="G14" i="6"/>
  <c r="F10" i="7"/>
  <c r="F10" i="6"/>
  <c r="H31" i="4"/>
  <c r="H33" i="4" s="1"/>
  <c r="H34" i="4" s="1"/>
  <c r="H30" i="4"/>
  <c r="H32" i="4" s="1"/>
  <c r="I29" i="4" s="1"/>
  <c r="H10" i="6"/>
  <c r="H12" i="6" s="1"/>
  <c r="H10" i="7"/>
  <c r="I28" i="4"/>
  <c r="I16" i="5"/>
  <c r="I19" i="5"/>
  <c r="I21" i="5"/>
  <c r="I25" i="5"/>
  <c r="I26" i="5" s="1"/>
  <c r="I17" i="7" s="1"/>
  <c r="J14" i="5"/>
  <c r="J16" i="4"/>
  <c r="K12" i="5"/>
  <c r="K20" i="5" s="1"/>
  <c r="K19" i="3"/>
  <c r="L12" i="3"/>
  <c r="L15" i="3"/>
  <c r="Q65" i="1" l="1"/>
  <c r="P66" i="1"/>
  <c r="P69" i="1"/>
  <c r="P68" i="1"/>
  <c r="O4" i="2"/>
  <c r="O4" i="4"/>
  <c r="O4" i="5"/>
  <c r="O4" i="6"/>
  <c r="O4" i="7"/>
  <c r="O4" i="3"/>
  <c r="O7" i="2"/>
  <c r="O67" i="1"/>
  <c r="O70" i="1"/>
  <c r="O7" i="6" s="1"/>
  <c r="O11" i="6" s="1"/>
  <c r="O72" i="1"/>
  <c r="O9" i="4" s="1"/>
  <c r="O6" i="2"/>
  <c r="O6" i="3"/>
  <c r="O6" i="5"/>
  <c r="O6" i="6"/>
  <c r="O71" i="1"/>
  <c r="O10" i="3" s="1"/>
  <c r="O73" i="1"/>
  <c r="O10" i="4" s="1"/>
  <c r="O11" i="4" s="1"/>
  <c r="O6" i="4"/>
  <c r="O6" i="7"/>
  <c r="N9" i="3"/>
  <c r="N11" i="3"/>
  <c r="N15" i="3"/>
  <c r="N13" i="6"/>
  <c r="N12" i="4"/>
  <c r="N13" i="4"/>
  <c r="N15" i="5" s="1"/>
  <c r="N13" i="2"/>
  <c r="N14" i="2"/>
  <c r="N9" i="2"/>
  <c r="N10" i="2" s="1"/>
  <c r="N5" i="2"/>
  <c r="N5" i="4"/>
  <c r="N5" i="3"/>
  <c r="N5" i="5"/>
  <c r="N5" i="6"/>
  <c r="N5" i="7"/>
  <c r="M11" i="2"/>
  <c r="H14" i="6"/>
  <c r="I31" i="4"/>
  <c r="I33" i="4" s="1"/>
  <c r="I34" i="4" s="1"/>
  <c r="I30" i="4"/>
  <c r="I32" i="4" s="1"/>
  <c r="J29" i="4" s="1"/>
  <c r="I10" i="6"/>
  <c r="I12" i="6" s="1"/>
  <c r="I10" i="7"/>
  <c r="J16" i="5"/>
  <c r="J19" i="5"/>
  <c r="J21" i="5"/>
  <c r="J25" i="5"/>
  <c r="J26" i="5" s="1"/>
  <c r="J17" i="7" s="1"/>
  <c r="J28" i="4"/>
  <c r="K16" i="4"/>
  <c r="K14" i="5"/>
  <c r="L12" i="5"/>
  <c r="L20" i="5" s="1"/>
  <c r="L16" i="3"/>
  <c r="L17" i="3"/>
  <c r="M12" i="3"/>
  <c r="M15" i="3"/>
  <c r="L15" i="2"/>
  <c r="L9" i="5"/>
  <c r="R65" i="1" l="1"/>
  <c r="Q66" i="1"/>
  <c r="Q68" i="1"/>
  <c r="Q69" i="1"/>
  <c r="P4" i="5"/>
  <c r="P4" i="6"/>
  <c r="P4" i="7"/>
  <c r="P4" i="2"/>
  <c r="P4" i="3"/>
  <c r="P4" i="4"/>
  <c r="P70" i="1"/>
  <c r="P7" i="6" s="1"/>
  <c r="P11" i="6" s="1"/>
  <c r="P72" i="1"/>
  <c r="P9" i="4" s="1"/>
  <c r="P6" i="2"/>
  <c r="P6" i="3"/>
  <c r="P6" i="4"/>
  <c r="P71" i="1"/>
  <c r="P10" i="3" s="1"/>
  <c r="P73" i="1"/>
  <c r="P10" i="4" s="1"/>
  <c r="P11" i="4" s="1"/>
  <c r="P6" i="5"/>
  <c r="P6" i="6"/>
  <c r="P6" i="7"/>
  <c r="P7" i="2"/>
  <c r="P67" i="1"/>
  <c r="O9" i="2"/>
  <c r="O10" i="2" s="1"/>
  <c r="O14" i="2"/>
  <c r="O13" i="2"/>
  <c r="O5" i="2"/>
  <c r="O5" i="4"/>
  <c r="O5" i="5"/>
  <c r="O5" i="6"/>
  <c r="O5" i="7"/>
  <c r="O5" i="3"/>
  <c r="O13" i="6"/>
  <c r="O9" i="3"/>
  <c r="O15" i="3" s="1"/>
  <c r="O11" i="3"/>
  <c r="O12" i="4"/>
  <c r="O13" i="4"/>
  <c r="O15" i="5" s="1"/>
  <c r="N16" i="3"/>
  <c r="N17" i="3"/>
  <c r="N13" i="5" s="1"/>
  <c r="N11" i="2"/>
  <c r="I14" i="6"/>
  <c r="J10" i="6"/>
  <c r="J12" i="6" s="1"/>
  <c r="J10" i="7"/>
  <c r="J30" i="4"/>
  <c r="J32" i="4" s="1"/>
  <c r="K29" i="4" s="1"/>
  <c r="J31" i="4"/>
  <c r="J33" i="4" s="1"/>
  <c r="J34" i="4" s="1"/>
  <c r="K28" i="4"/>
  <c r="K16" i="5"/>
  <c r="K19" i="5"/>
  <c r="K21" i="5"/>
  <c r="K25" i="5"/>
  <c r="K26" i="5" s="1"/>
  <c r="K17" i="7" s="1"/>
  <c r="M12" i="5"/>
  <c r="M20" i="5" s="1"/>
  <c r="M16" i="3"/>
  <c r="M17" i="3" s="1"/>
  <c r="N12" i="3"/>
  <c r="M15" i="2"/>
  <c r="M12" i="2"/>
  <c r="M9" i="5" s="1"/>
  <c r="L13" i="5"/>
  <c r="L19" i="3"/>
  <c r="S65" i="1" l="1"/>
  <c r="R66" i="1"/>
  <c r="R69" i="1"/>
  <c r="R68" i="1"/>
  <c r="Q4" i="3"/>
  <c r="Q4" i="4"/>
  <c r="Q4" i="5"/>
  <c r="Q4" i="6"/>
  <c r="Q4" i="7"/>
  <c r="Q4" i="2"/>
  <c r="Q7" i="2"/>
  <c r="Q67" i="1"/>
  <c r="Q70" i="1"/>
  <c r="Q7" i="6" s="1"/>
  <c r="Q11" i="6" s="1"/>
  <c r="Q73" i="1"/>
  <c r="Q10" i="4" s="1"/>
  <c r="Q11" i="4" s="1"/>
  <c r="Q71" i="1"/>
  <c r="Q10" i="3" s="1"/>
  <c r="Q72" i="1"/>
  <c r="Q9" i="4" s="1"/>
  <c r="Q6" i="5"/>
  <c r="Q6" i="6"/>
  <c r="Q6" i="7"/>
  <c r="Q6" i="2"/>
  <c r="Q6" i="3"/>
  <c r="Q6" i="4"/>
  <c r="P13" i="6"/>
  <c r="P9" i="3"/>
  <c r="P11" i="3"/>
  <c r="P15" i="3"/>
  <c r="P12" i="4"/>
  <c r="P13" i="4"/>
  <c r="P15" i="5" s="1"/>
  <c r="P9" i="2"/>
  <c r="P10" i="2" s="1"/>
  <c r="P13" i="2"/>
  <c r="P14" i="2"/>
  <c r="P5" i="5"/>
  <c r="P5" i="6"/>
  <c r="P5" i="2"/>
  <c r="P5" i="3"/>
  <c r="P5" i="4"/>
  <c r="P5" i="7"/>
  <c r="O11" i="2"/>
  <c r="O16" i="3"/>
  <c r="O17" i="3" s="1"/>
  <c r="O13" i="5" s="1"/>
  <c r="J14" i="6"/>
  <c r="K30" i="4"/>
  <c r="K32" i="4" s="1"/>
  <c r="L29" i="4" s="1"/>
  <c r="K31" i="4"/>
  <c r="K33" i="4" s="1"/>
  <c r="K34" i="4" s="1"/>
  <c r="K10" i="6"/>
  <c r="K12" i="6" s="1"/>
  <c r="K10" i="7"/>
  <c r="N19" i="3"/>
  <c r="N12" i="5"/>
  <c r="N20" i="5" s="1"/>
  <c r="L16" i="4"/>
  <c r="L14" i="5"/>
  <c r="O12" i="3"/>
  <c r="N12" i="2"/>
  <c r="N9" i="5"/>
  <c r="N15" i="2"/>
  <c r="M19" i="3"/>
  <c r="M13" i="5"/>
  <c r="T65" i="1" l="1"/>
  <c r="S66" i="1"/>
  <c r="S68" i="1"/>
  <c r="S69" i="1"/>
  <c r="R4" i="2"/>
  <c r="R4" i="5"/>
  <c r="R4" i="6"/>
  <c r="R4" i="7"/>
  <c r="R4" i="4"/>
  <c r="R4" i="3"/>
  <c r="R70" i="1"/>
  <c r="R7" i="6" s="1"/>
  <c r="R11" i="6" s="1"/>
  <c r="R71" i="1"/>
  <c r="R10" i="3" s="1"/>
  <c r="R72" i="1"/>
  <c r="R9" i="4" s="1"/>
  <c r="R73" i="1"/>
  <c r="R10" i="4" s="1"/>
  <c r="R11" i="4" s="1"/>
  <c r="R6" i="7"/>
  <c r="R6" i="4"/>
  <c r="R6" i="2"/>
  <c r="R6" i="3"/>
  <c r="R6" i="5"/>
  <c r="R6" i="6"/>
  <c r="R7" i="2"/>
  <c r="R67" i="1"/>
  <c r="Q9" i="2"/>
  <c r="Q10" i="2" s="1"/>
  <c r="Q13" i="2"/>
  <c r="Q14" i="2"/>
  <c r="Q5" i="2"/>
  <c r="Q5" i="3"/>
  <c r="Q5" i="4"/>
  <c r="Q5" i="5"/>
  <c r="Q5" i="6"/>
  <c r="Q5" i="7"/>
  <c r="Q13" i="6"/>
  <c r="Q9" i="3"/>
  <c r="Q15" i="3"/>
  <c r="Q11" i="3"/>
  <c r="Q12" i="4"/>
  <c r="Q13" i="4"/>
  <c r="Q15" i="5" s="1"/>
  <c r="P16" i="3"/>
  <c r="P17" i="3" s="1"/>
  <c r="P13" i="5" s="1"/>
  <c r="P11" i="2"/>
  <c r="K14" i="6"/>
  <c r="N16" i="4"/>
  <c r="N14" i="5"/>
  <c r="L28" i="4"/>
  <c r="L16" i="5"/>
  <c r="O12" i="5"/>
  <c r="O20" i="5" s="1"/>
  <c r="O19" i="3"/>
  <c r="M14" i="5"/>
  <c r="M16" i="4"/>
  <c r="P12" i="3"/>
  <c r="O15" i="2"/>
  <c r="O12" i="2"/>
  <c r="O9" i="5" s="1"/>
  <c r="U65" i="1" l="1"/>
  <c r="T66" i="1"/>
  <c r="T69" i="1"/>
  <c r="T68" i="1"/>
  <c r="S4" i="5"/>
  <c r="S4" i="6"/>
  <c r="S4" i="3"/>
  <c r="S4" i="7"/>
  <c r="S4" i="2"/>
  <c r="S4" i="4"/>
  <c r="S7" i="2"/>
  <c r="S67" i="1"/>
  <c r="S70" i="1"/>
  <c r="S7" i="6" s="1"/>
  <c r="S11" i="6" s="1"/>
  <c r="S6" i="2"/>
  <c r="S6" i="3"/>
  <c r="S71" i="1"/>
  <c r="S10" i="3" s="1"/>
  <c r="S72" i="1"/>
  <c r="S9" i="4" s="1"/>
  <c r="S73" i="1"/>
  <c r="S10" i="4" s="1"/>
  <c r="S11" i="4" s="1"/>
  <c r="S6" i="5"/>
  <c r="S6" i="6"/>
  <c r="S6" i="7"/>
  <c r="S6" i="4"/>
  <c r="R13" i="6"/>
  <c r="R12" i="4"/>
  <c r="R13" i="4"/>
  <c r="R15" i="5" s="1"/>
  <c r="R11" i="3"/>
  <c r="R9" i="3"/>
  <c r="R15" i="3" s="1"/>
  <c r="R14" i="2"/>
  <c r="R9" i="2"/>
  <c r="R10" i="2" s="1"/>
  <c r="R13" i="2"/>
  <c r="R5" i="5"/>
  <c r="R5" i="6"/>
  <c r="R5" i="2"/>
  <c r="R5" i="3"/>
  <c r="R5" i="4"/>
  <c r="R5" i="7"/>
  <c r="Q11" i="2"/>
  <c r="Q16" i="3"/>
  <c r="Q17" i="3" s="1"/>
  <c r="Q13" i="5" s="1"/>
  <c r="N28" i="4"/>
  <c r="N16" i="5"/>
  <c r="L30" i="4"/>
  <c r="L32" i="4" s="1"/>
  <c r="M29" i="4" s="1"/>
  <c r="L31" i="4"/>
  <c r="L33" i="4" s="1"/>
  <c r="L34" i="4" s="1"/>
  <c r="L35" i="4" s="1"/>
  <c r="L24" i="5" s="1"/>
  <c r="L25" i="5" s="1"/>
  <c r="L26" i="5" s="1"/>
  <c r="L17" i="7" s="1"/>
  <c r="O14" i="5"/>
  <c r="O16" i="4"/>
  <c r="M16" i="5"/>
  <c r="M28" i="4"/>
  <c r="P12" i="5"/>
  <c r="P20" i="5" s="1"/>
  <c r="P19" i="3"/>
  <c r="Q12" i="3"/>
  <c r="P12" i="2"/>
  <c r="V65" i="1" l="1"/>
  <c r="U66" i="1"/>
  <c r="U68" i="1"/>
  <c r="U69" i="1"/>
  <c r="T4" i="4"/>
  <c r="T4" i="5"/>
  <c r="T4" i="6"/>
  <c r="T4" i="2"/>
  <c r="T4" i="7"/>
  <c r="T4" i="3"/>
  <c r="T71" i="1"/>
  <c r="T10" i="3" s="1"/>
  <c r="T72" i="1"/>
  <c r="T9" i="4" s="1"/>
  <c r="T73" i="1"/>
  <c r="T10" i="4" s="1"/>
  <c r="T11" i="4" s="1"/>
  <c r="T6" i="2"/>
  <c r="T6" i="7"/>
  <c r="T6" i="4"/>
  <c r="T70" i="1"/>
  <c r="T7" i="6" s="1"/>
  <c r="T11" i="6" s="1"/>
  <c r="T6" i="3"/>
  <c r="T6" i="5"/>
  <c r="T6" i="6"/>
  <c r="T7" i="2"/>
  <c r="T67" i="1"/>
  <c r="S9" i="2"/>
  <c r="S10" i="2" s="1"/>
  <c r="S13" i="2"/>
  <c r="S14" i="2"/>
  <c r="S5" i="4"/>
  <c r="S5" i="2"/>
  <c r="S5" i="3"/>
  <c r="S5" i="5"/>
  <c r="S5" i="6"/>
  <c r="S5" i="7"/>
  <c r="S13" i="6"/>
  <c r="S9" i="3"/>
  <c r="S15" i="3" s="1"/>
  <c r="S11" i="3"/>
  <c r="S12" i="4"/>
  <c r="S13" i="4"/>
  <c r="S15" i="5" s="1"/>
  <c r="R16" i="3"/>
  <c r="R17" i="3" s="1"/>
  <c r="R13" i="5" s="1"/>
  <c r="R11" i="2"/>
  <c r="N30" i="4"/>
  <c r="O16" i="5"/>
  <c r="O28" i="4"/>
  <c r="M30" i="4"/>
  <c r="M32" i="4" s="1"/>
  <c r="N29" i="4" s="1"/>
  <c r="N31" i="4" s="1"/>
  <c r="N33" i="4" s="1"/>
  <c r="N34" i="4" s="1"/>
  <c r="N35" i="4" s="1"/>
  <c r="N24" i="5" s="1"/>
  <c r="N25" i="5" s="1"/>
  <c r="N26" i="5" s="1"/>
  <c r="N17" i="7" s="1"/>
  <c r="M31" i="4"/>
  <c r="M33" i="4" s="1"/>
  <c r="M34" i="4" s="1"/>
  <c r="M35" i="4" s="1"/>
  <c r="M24" i="5" s="1"/>
  <c r="M25" i="5" s="1"/>
  <c r="M26" i="5" s="1"/>
  <c r="M17" i="7" s="1"/>
  <c r="P16" i="4"/>
  <c r="P14" i="5"/>
  <c r="Q12" i="5"/>
  <c r="Q20" i="5" s="1"/>
  <c r="Q19" i="3"/>
  <c r="R12" i="3"/>
  <c r="Q12" i="2"/>
  <c r="Q9" i="5"/>
  <c r="Q15" i="2"/>
  <c r="P15" i="2"/>
  <c r="P9" i="5"/>
  <c r="W65" i="1" l="1"/>
  <c r="V66" i="1"/>
  <c r="V69" i="1"/>
  <c r="V68" i="1"/>
  <c r="U4" i="2"/>
  <c r="U4" i="3"/>
  <c r="U4" i="5"/>
  <c r="U4" i="6"/>
  <c r="U4" i="7"/>
  <c r="U4" i="4"/>
  <c r="U7" i="2"/>
  <c r="U67" i="1"/>
  <c r="U6" i="3"/>
  <c r="U71" i="1"/>
  <c r="U10" i="3" s="1"/>
  <c r="U72" i="1"/>
  <c r="U9" i="4" s="1"/>
  <c r="U73" i="1"/>
  <c r="U10" i="4" s="1"/>
  <c r="U11" i="4" s="1"/>
  <c r="U6" i="2"/>
  <c r="U6" i="5"/>
  <c r="U6" i="6"/>
  <c r="U70" i="1"/>
  <c r="U7" i="6" s="1"/>
  <c r="U11" i="6" s="1"/>
  <c r="U6" i="4"/>
  <c r="U6" i="7"/>
  <c r="T12" i="4"/>
  <c r="T13" i="4"/>
  <c r="T15" i="5" s="1"/>
  <c r="T13" i="6"/>
  <c r="T9" i="3"/>
  <c r="T15" i="3" s="1"/>
  <c r="T11" i="3"/>
  <c r="T9" i="2"/>
  <c r="T10" i="2" s="1"/>
  <c r="T13" i="2"/>
  <c r="T14" i="2"/>
  <c r="T5" i="2"/>
  <c r="T5" i="3"/>
  <c r="T5" i="4"/>
  <c r="T5" i="5"/>
  <c r="T5" i="6"/>
  <c r="T5" i="7"/>
  <c r="S11" i="2"/>
  <c r="S16" i="3"/>
  <c r="S17" i="3"/>
  <c r="S13" i="5" s="1"/>
  <c r="O30" i="4"/>
  <c r="O31" i="4"/>
  <c r="O33" i="4" s="1"/>
  <c r="O34" i="4" s="1"/>
  <c r="O35" i="4" s="1"/>
  <c r="O24" i="5" s="1"/>
  <c r="O25" i="5" s="1"/>
  <c r="O26" i="5" s="1"/>
  <c r="O17" i="7" s="1"/>
  <c r="P28" i="4"/>
  <c r="P16" i="5"/>
  <c r="Q16" i="4"/>
  <c r="Q14" i="5"/>
  <c r="R19" i="3"/>
  <c r="R12" i="5"/>
  <c r="R20" i="5" s="1"/>
  <c r="N32" i="4"/>
  <c r="O29" i="4" s="1"/>
  <c r="S12" i="3"/>
  <c r="R12" i="2"/>
  <c r="R15" i="2" s="1"/>
  <c r="R9" i="5"/>
  <c r="X65" i="1" l="1"/>
  <c r="W66" i="1"/>
  <c r="W69" i="1"/>
  <c r="W68" i="1"/>
  <c r="V4" i="5"/>
  <c r="V4" i="6"/>
  <c r="V4" i="3"/>
  <c r="V4" i="7"/>
  <c r="V4" i="2"/>
  <c r="V4" i="4"/>
  <c r="V70" i="1"/>
  <c r="V7" i="6" s="1"/>
  <c r="V11" i="6" s="1"/>
  <c r="V71" i="1"/>
  <c r="V10" i="3" s="1"/>
  <c r="V72" i="1"/>
  <c r="V9" i="4" s="1"/>
  <c r="V6" i="2"/>
  <c r="V6" i="3"/>
  <c r="V73" i="1"/>
  <c r="V10" i="4" s="1"/>
  <c r="V11" i="4" s="1"/>
  <c r="V6" i="4"/>
  <c r="V6" i="5"/>
  <c r="V6" i="6"/>
  <c r="V6" i="7"/>
  <c r="V7" i="2"/>
  <c r="V67" i="1"/>
  <c r="U9" i="2"/>
  <c r="U10" i="2" s="1"/>
  <c r="U13" i="2"/>
  <c r="U14" i="2"/>
  <c r="U5" i="5"/>
  <c r="U5" i="6"/>
  <c r="U5" i="2"/>
  <c r="U5" i="3"/>
  <c r="U5" i="4"/>
  <c r="U5" i="7"/>
  <c r="U9" i="3"/>
  <c r="U15" i="3" s="1"/>
  <c r="U11" i="3"/>
  <c r="U13" i="6"/>
  <c r="U13" i="4"/>
  <c r="U15" i="5" s="1"/>
  <c r="U12" i="4"/>
  <c r="T16" i="3"/>
  <c r="T17" i="3" s="1"/>
  <c r="T13" i="5" s="1"/>
  <c r="T11" i="2"/>
  <c r="P30" i="4"/>
  <c r="P31" i="4"/>
  <c r="P33" i="4" s="1"/>
  <c r="P34" i="4" s="1"/>
  <c r="P35" i="4" s="1"/>
  <c r="P24" i="5" s="1"/>
  <c r="P25" i="5" s="1"/>
  <c r="P26" i="5" s="1"/>
  <c r="P17" i="7" s="1"/>
  <c r="Q28" i="4"/>
  <c r="Q16" i="5"/>
  <c r="R14" i="5"/>
  <c r="R16" i="4"/>
  <c r="S12" i="5"/>
  <c r="S20" i="5" s="1"/>
  <c r="S19" i="3"/>
  <c r="O32" i="4"/>
  <c r="P29" i="4" s="1"/>
  <c r="T12" i="3"/>
  <c r="S12" i="2"/>
  <c r="S15" i="2"/>
  <c r="S9" i="5"/>
  <c r="Y65" i="1" l="1"/>
  <c r="X66" i="1"/>
  <c r="X68" i="1"/>
  <c r="X69" i="1"/>
  <c r="W4" i="4"/>
  <c r="W4" i="5"/>
  <c r="W4" i="6"/>
  <c r="W4" i="2"/>
  <c r="W4" i="7"/>
  <c r="W4" i="3"/>
  <c r="W73" i="1"/>
  <c r="W10" i="4" s="1"/>
  <c r="W11" i="4" s="1"/>
  <c r="W6" i="4"/>
  <c r="W6" i="7"/>
  <c r="W70" i="1"/>
  <c r="W7" i="6" s="1"/>
  <c r="W11" i="6" s="1"/>
  <c r="W6" i="2"/>
  <c r="W71" i="1"/>
  <c r="W10" i="3" s="1"/>
  <c r="W72" i="1"/>
  <c r="W9" i="4" s="1"/>
  <c r="W6" i="3"/>
  <c r="W6" i="5"/>
  <c r="W6" i="6"/>
  <c r="W67" i="1"/>
  <c r="W7" i="2"/>
  <c r="V12" i="6"/>
  <c r="V13" i="6"/>
  <c r="V22" i="6"/>
  <c r="V24" i="6"/>
  <c r="V9" i="3"/>
  <c r="V11" i="3"/>
  <c r="V15" i="3"/>
  <c r="V13" i="4"/>
  <c r="V15" i="5" s="1"/>
  <c r="V12" i="4"/>
  <c r="V9" i="2"/>
  <c r="V10" i="2" s="1"/>
  <c r="V13" i="2"/>
  <c r="V14" i="2"/>
  <c r="V5" i="2"/>
  <c r="V5" i="3"/>
  <c r="V5" i="4"/>
  <c r="V5" i="5"/>
  <c r="V5" i="6"/>
  <c r="V5" i="7"/>
  <c r="U9" i="5"/>
  <c r="U11" i="2"/>
  <c r="U15" i="2" s="1"/>
  <c r="U12" i="2"/>
  <c r="U16" i="3"/>
  <c r="U17" i="3"/>
  <c r="U13" i="5" s="1"/>
  <c r="Q30" i="4"/>
  <c r="Q31" i="4"/>
  <c r="Q33" i="4" s="1"/>
  <c r="Q34" i="4" s="1"/>
  <c r="Q35" i="4" s="1"/>
  <c r="Q24" i="5" s="1"/>
  <c r="Q25" i="5" s="1"/>
  <c r="Q26" i="5" s="1"/>
  <c r="Q17" i="7" s="1"/>
  <c r="R16" i="5"/>
  <c r="R28" i="4"/>
  <c r="S16" i="4"/>
  <c r="S14" i="5"/>
  <c r="T19" i="3"/>
  <c r="T12" i="5"/>
  <c r="T20" i="5" s="1"/>
  <c r="U12" i="3"/>
  <c r="P32" i="4"/>
  <c r="Q29" i="4" s="1"/>
  <c r="T12" i="2"/>
  <c r="T9" i="5" s="1"/>
  <c r="T15" i="2"/>
  <c r="Z65" i="1" l="1"/>
  <c r="Y66" i="1"/>
  <c r="Y69" i="1"/>
  <c r="Y68" i="1"/>
  <c r="X4" i="2"/>
  <c r="X4" i="3"/>
  <c r="X4" i="5"/>
  <c r="X4" i="6"/>
  <c r="X4" i="7"/>
  <c r="X4" i="4"/>
  <c r="X7" i="2"/>
  <c r="X67" i="1"/>
  <c r="X73" i="1"/>
  <c r="X10" i="4" s="1"/>
  <c r="X11" i="4" s="1"/>
  <c r="X6" i="3"/>
  <c r="X6" i="4"/>
  <c r="X70" i="1"/>
  <c r="X7" i="6" s="1"/>
  <c r="X11" i="6" s="1"/>
  <c r="X6" i="2"/>
  <c r="X6" i="5"/>
  <c r="X6" i="6"/>
  <c r="X6" i="7"/>
  <c r="X71" i="1"/>
  <c r="X10" i="3" s="1"/>
  <c r="X72" i="1"/>
  <c r="X9" i="4" s="1"/>
  <c r="W12" i="4"/>
  <c r="W13" i="4"/>
  <c r="W15" i="5" s="1"/>
  <c r="W12" i="6"/>
  <c r="W13" i="6"/>
  <c r="W22" i="6"/>
  <c r="W24" i="6"/>
  <c r="W9" i="3"/>
  <c r="W11" i="3"/>
  <c r="W15" i="3"/>
  <c r="W5" i="4"/>
  <c r="W5" i="5"/>
  <c r="W5" i="6"/>
  <c r="W5" i="2"/>
  <c r="W5" i="3"/>
  <c r="W5" i="7"/>
  <c r="W9" i="2"/>
  <c r="W10" i="2" s="1"/>
  <c r="W13" i="2"/>
  <c r="W14" i="2"/>
  <c r="V26" i="6"/>
  <c r="V23" i="6"/>
  <c r="V16" i="3"/>
  <c r="V17" i="3" s="1"/>
  <c r="V13" i="5" s="1"/>
  <c r="V11" i="2"/>
  <c r="V15" i="2" s="1"/>
  <c r="V12" i="2"/>
  <c r="V9" i="5" s="1"/>
  <c r="R30" i="4"/>
  <c r="R31" i="4"/>
  <c r="R33" i="4" s="1"/>
  <c r="R34" i="4" s="1"/>
  <c r="R35" i="4" s="1"/>
  <c r="R24" i="5" s="1"/>
  <c r="R25" i="5" s="1"/>
  <c r="R26" i="5" s="1"/>
  <c r="R17" i="7" s="1"/>
  <c r="S28" i="4"/>
  <c r="S16" i="5"/>
  <c r="T16" i="4"/>
  <c r="T14" i="5"/>
  <c r="U12" i="5"/>
  <c r="U20" i="5" s="1"/>
  <c r="U19" i="3"/>
  <c r="V14" i="6"/>
  <c r="V12" i="3"/>
  <c r="Q32" i="4"/>
  <c r="R29" i="4" s="1"/>
  <c r="AA65" i="1" l="1"/>
  <c r="Z66" i="1"/>
  <c r="Z68" i="1"/>
  <c r="Z69" i="1"/>
  <c r="Y4" i="4"/>
  <c r="Y4" i="5"/>
  <c r="Y4" i="6"/>
  <c r="Y4" i="2"/>
  <c r="Y4" i="7"/>
  <c r="Y4" i="3"/>
  <c r="Y70" i="1"/>
  <c r="Y7" i="6" s="1"/>
  <c r="Y11" i="6" s="1"/>
  <c r="Y6" i="2"/>
  <c r="Y6" i="3"/>
  <c r="Y6" i="4"/>
  <c r="Y6" i="7"/>
  <c r="Y71" i="1"/>
  <c r="Y10" i="3" s="1"/>
  <c r="Y72" i="1"/>
  <c r="Y9" i="4" s="1"/>
  <c r="Y73" i="1"/>
  <c r="Y10" i="4" s="1"/>
  <c r="Y11" i="4" s="1"/>
  <c r="Y6" i="5"/>
  <c r="Y6" i="6"/>
  <c r="Y67" i="1"/>
  <c r="Y7" i="2"/>
  <c r="X13" i="2"/>
  <c r="X14" i="2"/>
  <c r="X9" i="2"/>
  <c r="X10" i="2" s="1"/>
  <c r="X5" i="3"/>
  <c r="X5" i="2"/>
  <c r="X5" i="5"/>
  <c r="X5" i="6"/>
  <c r="X5" i="4"/>
  <c r="X5" i="7"/>
  <c r="X11" i="3"/>
  <c r="X9" i="3"/>
  <c r="X15" i="3" s="1"/>
  <c r="X12" i="4"/>
  <c r="X13" i="4"/>
  <c r="X15" i="5" s="1"/>
  <c r="X12" i="6"/>
  <c r="X13" i="6"/>
  <c r="X22" i="6"/>
  <c r="X24" i="6"/>
  <c r="W26" i="6"/>
  <c r="W23" i="6"/>
  <c r="W16" i="3"/>
  <c r="W17" i="3" s="1"/>
  <c r="W13" i="5" s="1"/>
  <c r="W11" i="2"/>
  <c r="V25" i="6"/>
  <c r="V17" i="5"/>
  <c r="V17" i="4"/>
  <c r="S30" i="4"/>
  <c r="S31" i="4"/>
  <c r="S33" i="4" s="1"/>
  <c r="S34" i="4" s="1"/>
  <c r="S35" i="4" s="1"/>
  <c r="S24" i="5" s="1"/>
  <c r="S25" i="5" s="1"/>
  <c r="S26" i="5" s="1"/>
  <c r="S17" i="7" s="1"/>
  <c r="T28" i="4"/>
  <c r="T16" i="5"/>
  <c r="U14" i="5"/>
  <c r="U16" i="4"/>
  <c r="V12" i="5"/>
  <c r="V20" i="5" s="1"/>
  <c r="V19" i="3"/>
  <c r="W12" i="3"/>
  <c r="R32" i="4"/>
  <c r="S29" i="4" s="1"/>
  <c r="W14" i="6"/>
  <c r="AB65" i="1" l="1"/>
  <c r="AA66" i="1"/>
  <c r="AA69" i="1"/>
  <c r="AA68" i="1"/>
  <c r="Z4" i="5"/>
  <c r="Z4" i="6"/>
  <c r="Z4" i="3"/>
  <c r="Z4" i="7"/>
  <c r="Z4" i="2"/>
  <c r="Z4" i="4"/>
  <c r="Z7" i="2"/>
  <c r="Z67" i="1"/>
  <c r="Z70" i="1"/>
  <c r="Z7" i="6" s="1"/>
  <c r="Z11" i="6" s="1"/>
  <c r="Z6" i="2"/>
  <c r="Z6" i="3"/>
  <c r="Z6" i="5"/>
  <c r="Z6" i="6"/>
  <c r="Z71" i="1"/>
  <c r="Z10" i="3" s="1"/>
  <c r="Z72" i="1"/>
  <c r="Z9" i="4" s="1"/>
  <c r="Z73" i="1"/>
  <c r="Z10" i="4" s="1"/>
  <c r="Z11" i="4" s="1"/>
  <c r="Z6" i="4"/>
  <c r="Z6" i="7"/>
  <c r="Y12" i="6"/>
  <c r="Y13" i="6"/>
  <c r="Y22" i="6"/>
  <c r="Y24" i="6"/>
  <c r="Y11" i="3"/>
  <c r="Y9" i="3"/>
  <c r="Y12" i="3" s="1"/>
  <c r="Y15" i="3"/>
  <c r="Y13" i="4"/>
  <c r="Y15" i="5" s="1"/>
  <c r="Y12" i="4"/>
  <c r="Y5" i="3"/>
  <c r="Y5" i="5"/>
  <c r="Y5" i="6"/>
  <c r="Y5" i="7"/>
  <c r="Y5" i="2"/>
  <c r="Y5" i="4"/>
  <c r="Y9" i="2"/>
  <c r="Y10" i="2" s="1"/>
  <c r="Y13" i="2"/>
  <c r="Y14" i="2"/>
  <c r="X11" i="2"/>
  <c r="X16" i="3"/>
  <c r="X17" i="3" s="1"/>
  <c r="X13" i="5" s="1"/>
  <c r="X26" i="6"/>
  <c r="X23" i="6"/>
  <c r="W25" i="6"/>
  <c r="W17" i="4"/>
  <c r="W17" i="5"/>
  <c r="V11" i="7"/>
  <c r="V27" i="6"/>
  <c r="T30" i="4"/>
  <c r="T31" i="4"/>
  <c r="T33" i="4" s="1"/>
  <c r="T34" i="4" s="1"/>
  <c r="T35" i="4" s="1"/>
  <c r="T24" i="5" s="1"/>
  <c r="T25" i="5" s="1"/>
  <c r="T26" i="5" s="1"/>
  <c r="T17" i="7" s="1"/>
  <c r="U16" i="5"/>
  <c r="U28" i="4"/>
  <c r="V14" i="5"/>
  <c r="V16" i="4"/>
  <c r="W12" i="5"/>
  <c r="W20" i="5" s="1"/>
  <c r="W19" i="3"/>
  <c r="S32" i="4"/>
  <c r="T29" i="4" s="1"/>
  <c r="X14" i="6"/>
  <c r="X12" i="3"/>
  <c r="W12" i="2"/>
  <c r="W15" i="2"/>
  <c r="W9" i="5"/>
  <c r="AC65" i="1" l="1"/>
  <c r="AB66" i="1"/>
  <c r="AB68" i="1"/>
  <c r="AB69" i="1"/>
  <c r="AA4" i="3"/>
  <c r="AA4" i="5"/>
  <c r="AA4" i="6"/>
  <c r="AA4" i="7"/>
  <c r="AA4" i="2"/>
  <c r="AA4" i="4"/>
  <c r="AA70" i="1"/>
  <c r="AA7" i="6" s="1"/>
  <c r="AA11" i="6" s="1"/>
  <c r="AA6" i="2"/>
  <c r="AA6" i="3"/>
  <c r="AA72" i="1"/>
  <c r="AA9" i="4" s="1"/>
  <c r="AA73" i="1"/>
  <c r="AA10" i="4" s="1"/>
  <c r="AA11" i="4" s="1"/>
  <c r="AA6" i="4"/>
  <c r="AA71" i="1"/>
  <c r="AA10" i="3" s="1"/>
  <c r="AA6" i="5"/>
  <c r="AA6" i="6"/>
  <c r="AA6" i="7"/>
  <c r="AA67" i="1"/>
  <c r="AA7" i="2"/>
  <c r="Z9" i="2"/>
  <c r="Z10" i="2" s="1"/>
  <c r="Z14" i="2"/>
  <c r="Z13" i="2"/>
  <c r="Z5" i="4"/>
  <c r="Z5" i="5"/>
  <c r="Z5" i="6"/>
  <c r="Z5" i="2"/>
  <c r="Z5" i="3"/>
  <c r="Z5" i="7"/>
  <c r="Z12" i="6"/>
  <c r="Z13" i="6"/>
  <c r="Z22" i="6"/>
  <c r="Z24" i="6"/>
  <c r="Z11" i="3"/>
  <c r="Z9" i="3"/>
  <c r="Z15" i="3" s="1"/>
  <c r="Z12" i="4"/>
  <c r="Z13" i="4"/>
  <c r="Z15" i="5" s="1"/>
  <c r="Y26" i="6"/>
  <c r="Y23" i="6"/>
  <c r="Y19" i="3"/>
  <c r="Y12" i="5"/>
  <c r="Y20" i="5" s="1"/>
  <c r="Y16" i="3"/>
  <c r="Y17" i="3"/>
  <c r="Y13" i="5" s="1"/>
  <c r="Y11" i="2"/>
  <c r="Y15" i="2" s="1"/>
  <c r="Y12" i="2"/>
  <c r="Y9" i="5" s="1"/>
  <c r="X25" i="6"/>
  <c r="X17" i="5"/>
  <c r="X17" i="4"/>
  <c r="W11" i="7"/>
  <c r="W27" i="6"/>
  <c r="U30" i="4"/>
  <c r="U31" i="4"/>
  <c r="U33" i="4" s="1"/>
  <c r="U34" i="4" s="1"/>
  <c r="U35" i="4" s="1"/>
  <c r="U24" i="5" s="1"/>
  <c r="U25" i="5" s="1"/>
  <c r="U26" i="5" s="1"/>
  <c r="U17" i="7" s="1"/>
  <c r="V16" i="5"/>
  <c r="V28" i="4"/>
  <c r="V18" i="4"/>
  <c r="W16" i="4"/>
  <c r="W14" i="5"/>
  <c r="X19" i="3"/>
  <c r="X12" i="5"/>
  <c r="X20" i="5" s="1"/>
  <c r="Y14" i="6"/>
  <c r="T32" i="4"/>
  <c r="U29" i="4" s="1"/>
  <c r="X12" i="2"/>
  <c r="X9" i="5" s="1"/>
  <c r="X15" i="2"/>
  <c r="AD65" i="1" l="1"/>
  <c r="AC66" i="1"/>
  <c r="AC68" i="1"/>
  <c r="AC69" i="1"/>
  <c r="AB4" i="4"/>
  <c r="AB4" i="5"/>
  <c r="AB4" i="6"/>
  <c r="AB4" i="7"/>
  <c r="AB4" i="2"/>
  <c r="AB4" i="3"/>
  <c r="AB7" i="2"/>
  <c r="AB67" i="1"/>
  <c r="AB6" i="2"/>
  <c r="AB6" i="4"/>
  <c r="AB70" i="1"/>
  <c r="AB7" i="6" s="1"/>
  <c r="AB11" i="6" s="1"/>
  <c r="AB73" i="1"/>
  <c r="AB10" i="4" s="1"/>
  <c r="AB11" i="4" s="1"/>
  <c r="AB6" i="3"/>
  <c r="AB6" i="5"/>
  <c r="AB6" i="6"/>
  <c r="AB6" i="7"/>
  <c r="AB71" i="1"/>
  <c r="AB10" i="3" s="1"/>
  <c r="AB72" i="1"/>
  <c r="AB9" i="4" s="1"/>
  <c r="AA12" i="6"/>
  <c r="AA13" i="6"/>
  <c r="AA22" i="6"/>
  <c r="AA24" i="6"/>
  <c r="AA9" i="3"/>
  <c r="AA11" i="3"/>
  <c r="AA15" i="3"/>
  <c r="AA12" i="4"/>
  <c r="AA13" i="4"/>
  <c r="AA15" i="5" s="1"/>
  <c r="AA5" i="2"/>
  <c r="AA5" i="5"/>
  <c r="AA5" i="6"/>
  <c r="AA5" i="4"/>
  <c r="AA5" i="7"/>
  <c r="AA5" i="3"/>
  <c r="AA14" i="2"/>
  <c r="AA9" i="2"/>
  <c r="AA10" i="2" s="1"/>
  <c r="AA13" i="2"/>
  <c r="Z11" i="2"/>
  <c r="Z26" i="6"/>
  <c r="Z23" i="6"/>
  <c r="Z16" i="3"/>
  <c r="Z17" i="3" s="1"/>
  <c r="Z13" i="5" s="1"/>
  <c r="Y25" i="6"/>
  <c r="Y17" i="4"/>
  <c r="Y17" i="5"/>
  <c r="Y16" i="4"/>
  <c r="Y14" i="5"/>
  <c r="X27" i="6"/>
  <c r="X11" i="7"/>
  <c r="V30" i="4"/>
  <c r="V31" i="4"/>
  <c r="V33" i="4" s="1"/>
  <c r="V34" i="4" s="1"/>
  <c r="V35" i="4" s="1"/>
  <c r="V24" i="5" s="1"/>
  <c r="V25" i="5" s="1"/>
  <c r="V26" i="5" s="1"/>
  <c r="V17" i="7" s="1"/>
  <c r="V20" i="4"/>
  <c r="W28" i="4"/>
  <c r="W18" i="4"/>
  <c r="W16" i="5"/>
  <c r="X14" i="5"/>
  <c r="X16" i="4"/>
  <c r="U32" i="4"/>
  <c r="V29" i="4" s="1"/>
  <c r="Z14" i="6"/>
  <c r="Z12" i="3"/>
  <c r="AE65" i="1" l="1"/>
  <c r="AD66" i="1"/>
  <c r="AD69" i="1"/>
  <c r="AD68" i="1"/>
  <c r="AC4" i="5"/>
  <c r="AC4" i="6"/>
  <c r="AC4" i="3"/>
  <c r="AC4" i="4"/>
  <c r="AC4" i="7"/>
  <c r="AC4" i="2"/>
  <c r="AC7" i="2"/>
  <c r="AC67" i="1"/>
  <c r="AC73" i="1"/>
  <c r="AC10" i="4" s="1"/>
  <c r="AC11" i="4" s="1"/>
  <c r="AC6" i="3"/>
  <c r="AC71" i="1"/>
  <c r="AC10" i="3" s="1"/>
  <c r="AC72" i="1"/>
  <c r="AC9" i="4" s="1"/>
  <c r="AC6" i="2"/>
  <c r="AC6" i="5"/>
  <c r="AC6" i="6"/>
  <c r="AC70" i="1"/>
  <c r="AC7" i="6" s="1"/>
  <c r="AC11" i="6" s="1"/>
  <c r="AC6" i="4"/>
  <c r="AC6" i="7"/>
  <c r="AB14" i="2"/>
  <c r="AB13" i="2"/>
  <c r="AB9" i="2"/>
  <c r="AB10" i="2" s="1"/>
  <c r="AB5" i="3"/>
  <c r="AB5" i="4"/>
  <c r="AB5" i="5"/>
  <c r="AB5" i="6"/>
  <c r="AB5" i="7"/>
  <c r="AB5" i="2"/>
  <c r="AB13" i="4"/>
  <c r="AB15" i="5" s="1"/>
  <c r="AB12" i="4"/>
  <c r="AB12" i="6"/>
  <c r="AB13" i="6"/>
  <c r="AB22" i="6"/>
  <c r="AB24" i="6"/>
  <c r="AB11" i="3"/>
  <c r="AB9" i="3"/>
  <c r="AB15" i="3" s="1"/>
  <c r="AA26" i="6"/>
  <c r="AA23" i="6"/>
  <c r="AA16" i="3"/>
  <c r="AA17" i="3" s="1"/>
  <c r="AA13" i="5" s="1"/>
  <c r="AA11" i="2"/>
  <c r="AA12" i="2"/>
  <c r="Z25" i="6"/>
  <c r="Z17" i="5"/>
  <c r="Z17" i="4"/>
  <c r="Y11" i="7"/>
  <c r="Y27" i="6"/>
  <c r="Y18" i="4"/>
  <c r="Y28" i="4"/>
  <c r="Y16" i="5"/>
  <c r="W30" i="4"/>
  <c r="W20" i="4"/>
  <c r="X16" i="5"/>
  <c r="X18" i="4"/>
  <c r="X28" i="4"/>
  <c r="Z12" i="5"/>
  <c r="Z20" i="5" s="1"/>
  <c r="Z19" i="3"/>
  <c r="AA14" i="6"/>
  <c r="AA12" i="3"/>
  <c r="V32" i="4"/>
  <c r="W29" i="4" s="1"/>
  <c r="W31" i="4" s="1"/>
  <c r="Z12" i="2"/>
  <c r="Z9" i="5"/>
  <c r="Z15" i="2"/>
  <c r="AF65" i="1" l="1"/>
  <c r="AE66" i="1"/>
  <c r="AE68" i="1"/>
  <c r="AE69" i="1"/>
  <c r="AD4" i="5"/>
  <c r="AD4" i="6"/>
  <c r="AD4" i="2"/>
  <c r="AD4" i="7"/>
  <c r="AD4" i="3"/>
  <c r="AD4" i="4"/>
  <c r="AD71" i="1"/>
  <c r="AD10" i="3" s="1"/>
  <c r="AD72" i="1"/>
  <c r="AD9" i="4" s="1"/>
  <c r="AD73" i="1"/>
  <c r="AD10" i="4" s="1"/>
  <c r="AD11" i="4" s="1"/>
  <c r="AD6" i="2"/>
  <c r="AD6" i="3"/>
  <c r="AD6" i="7"/>
  <c r="AD70" i="1"/>
  <c r="AD7" i="6" s="1"/>
  <c r="AD11" i="6" s="1"/>
  <c r="AD6" i="4"/>
  <c r="AD6" i="5"/>
  <c r="AD6" i="6"/>
  <c r="AD67" i="1"/>
  <c r="AD7" i="2"/>
  <c r="AC13" i="2"/>
  <c r="AC14" i="2"/>
  <c r="AC9" i="2"/>
  <c r="AC10" i="2" s="1"/>
  <c r="AC5" i="2"/>
  <c r="AC5" i="3"/>
  <c r="AC5" i="5"/>
  <c r="AC5" i="6"/>
  <c r="AC5" i="7"/>
  <c r="AC5" i="4"/>
  <c r="AC11" i="3"/>
  <c r="AC9" i="3"/>
  <c r="AC15" i="3" s="1"/>
  <c r="AC12" i="6"/>
  <c r="AC13" i="6"/>
  <c r="AC22" i="6"/>
  <c r="AC24" i="6"/>
  <c r="AC12" i="4"/>
  <c r="AC13" i="4"/>
  <c r="AC15" i="5" s="1"/>
  <c r="AB11" i="2"/>
  <c r="AB23" i="6"/>
  <c r="AB26" i="6"/>
  <c r="AB16" i="3"/>
  <c r="AB17" i="3" s="1"/>
  <c r="AB13" i="5" s="1"/>
  <c r="AA25" i="6"/>
  <c r="AA17" i="4"/>
  <c r="AA17" i="5"/>
  <c r="Z11" i="7"/>
  <c r="Z27" i="6"/>
  <c r="Y20" i="4"/>
  <c r="Y30" i="4"/>
  <c r="X20" i="4"/>
  <c r="X31" i="4"/>
  <c r="X33" i="4" s="1"/>
  <c r="X34" i="4" s="1"/>
  <c r="X35" i="4" s="1"/>
  <c r="X24" i="5" s="1"/>
  <c r="X25" i="5" s="1"/>
  <c r="X26" i="5" s="1"/>
  <c r="X17" i="7" s="1"/>
  <c r="X30" i="4"/>
  <c r="Z14" i="5"/>
  <c r="Z16" i="4"/>
  <c r="AA12" i="5"/>
  <c r="AA20" i="5" s="1"/>
  <c r="AA19" i="3"/>
  <c r="AB14" i="6"/>
  <c r="AB12" i="3"/>
  <c r="AA9" i="5"/>
  <c r="AA15" i="2"/>
  <c r="W32" i="4"/>
  <c r="X29" i="4" s="1"/>
  <c r="W33" i="4"/>
  <c r="W34" i="4" s="1"/>
  <c r="W35" i="4" s="1"/>
  <c r="W24" i="5" s="1"/>
  <c r="W25" i="5" s="1"/>
  <c r="W26" i="5" s="1"/>
  <c r="W17" i="7" s="1"/>
  <c r="AG65" i="1" l="1"/>
  <c r="AF66" i="1"/>
  <c r="AF69" i="1"/>
  <c r="AF68" i="1"/>
  <c r="AE4" i="3"/>
  <c r="AE4" i="5"/>
  <c r="AE4" i="6"/>
  <c r="AE4" i="4"/>
  <c r="AE4" i="7"/>
  <c r="AE4" i="2"/>
  <c r="AE7" i="2"/>
  <c r="AE67" i="1"/>
  <c r="AE72" i="1"/>
  <c r="AE9" i="4" s="1"/>
  <c r="AE6" i="2"/>
  <c r="AE6" i="4"/>
  <c r="AE71" i="1"/>
  <c r="AE10" i="3" s="1"/>
  <c r="AE73" i="1"/>
  <c r="AE10" i="4" s="1"/>
  <c r="AE11" i="4" s="1"/>
  <c r="AE6" i="3"/>
  <c r="AE6" i="5"/>
  <c r="AE6" i="6"/>
  <c r="AE6" i="7"/>
  <c r="AE70" i="1"/>
  <c r="AE7" i="6" s="1"/>
  <c r="AE11" i="6" s="1"/>
  <c r="AD9" i="3"/>
  <c r="AD11" i="3"/>
  <c r="AD15" i="3"/>
  <c r="AD12" i="6"/>
  <c r="AD13" i="6"/>
  <c r="AD22" i="6"/>
  <c r="AD24" i="6"/>
  <c r="AD12" i="4"/>
  <c r="AD13" i="4"/>
  <c r="AD15" i="5" s="1"/>
  <c r="AD5" i="2"/>
  <c r="AD5" i="5"/>
  <c r="AD5" i="6"/>
  <c r="AD5" i="3"/>
  <c r="AD5" i="7"/>
  <c r="AD5" i="4"/>
  <c r="AD14" i="2"/>
  <c r="AD9" i="2"/>
  <c r="AD10" i="2" s="1"/>
  <c r="AD13" i="2"/>
  <c r="AC11" i="2"/>
  <c r="AC16" i="3"/>
  <c r="AC17" i="3"/>
  <c r="AC13" i="5" s="1"/>
  <c r="AC23" i="6"/>
  <c r="AC26" i="6"/>
  <c r="AB25" i="6"/>
  <c r="AB17" i="5"/>
  <c r="AB17" i="4"/>
  <c r="AA11" i="7"/>
  <c r="AA27" i="6"/>
  <c r="Z16" i="5"/>
  <c r="Z28" i="4"/>
  <c r="Z18" i="4"/>
  <c r="AA16" i="4"/>
  <c r="AA14" i="5"/>
  <c r="AB12" i="5"/>
  <c r="AB20" i="5" s="1"/>
  <c r="AB19" i="3"/>
  <c r="AC14" i="6"/>
  <c r="X32" i="4"/>
  <c r="Y29" i="4" s="1"/>
  <c r="AC12" i="3"/>
  <c r="AB12" i="2"/>
  <c r="AB15" i="2" s="1"/>
  <c r="AB9" i="5"/>
  <c r="AH65" i="1" l="1"/>
  <c r="AG66" i="1"/>
  <c r="AG68" i="1"/>
  <c r="AG69" i="1"/>
  <c r="AF4" i="5"/>
  <c r="AF4" i="6"/>
  <c r="AF4" i="2"/>
  <c r="AF4" i="3"/>
  <c r="AF4" i="7"/>
  <c r="AF4" i="4"/>
  <c r="AF71" i="1"/>
  <c r="AF10" i="3" s="1"/>
  <c r="AF6" i="2"/>
  <c r="AF6" i="3"/>
  <c r="AF6" i="4"/>
  <c r="AF6" i="7"/>
  <c r="AF70" i="1"/>
  <c r="AF7" i="6" s="1"/>
  <c r="AF11" i="6" s="1"/>
  <c r="AF73" i="1"/>
  <c r="AF10" i="4" s="1"/>
  <c r="AF11" i="4" s="1"/>
  <c r="AF72" i="1"/>
  <c r="AF9" i="4" s="1"/>
  <c r="AF6" i="5"/>
  <c r="AF6" i="6"/>
  <c r="AF7" i="2"/>
  <c r="AF67" i="1"/>
  <c r="AE14" i="2"/>
  <c r="AE9" i="2"/>
  <c r="AE10" i="2" s="1"/>
  <c r="AE13" i="2"/>
  <c r="AE5" i="3"/>
  <c r="AE5" i="4"/>
  <c r="AE5" i="5"/>
  <c r="AE5" i="6"/>
  <c r="AE5" i="2"/>
  <c r="AE5" i="7"/>
  <c r="AE12" i="4"/>
  <c r="AE13" i="4"/>
  <c r="AE15" i="5" s="1"/>
  <c r="AE9" i="3"/>
  <c r="AE15" i="3" s="1"/>
  <c r="AE11" i="3"/>
  <c r="AE12" i="6"/>
  <c r="AE13" i="6"/>
  <c r="AE22" i="6"/>
  <c r="AE24" i="6"/>
  <c r="AD16" i="3"/>
  <c r="AD17" i="3" s="1"/>
  <c r="AD13" i="5" s="1"/>
  <c r="AD23" i="6"/>
  <c r="AD26" i="6"/>
  <c r="AD11" i="2"/>
  <c r="AC25" i="6"/>
  <c r="AC17" i="4"/>
  <c r="AC17" i="5"/>
  <c r="AB27" i="6"/>
  <c r="AB11" i="7"/>
  <c r="Z30" i="4"/>
  <c r="Z31" i="4"/>
  <c r="Z33" i="4" s="1"/>
  <c r="Z34" i="4" s="1"/>
  <c r="Z35" i="4" s="1"/>
  <c r="Z24" i="5" s="1"/>
  <c r="Z25" i="5" s="1"/>
  <c r="Z26" i="5" s="1"/>
  <c r="Z17" i="7" s="1"/>
  <c r="Z20" i="4"/>
  <c r="AA18" i="4"/>
  <c r="AA28" i="4"/>
  <c r="AA16" i="5"/>
  <c r="AB14" i="5"/>
  <c r="AB16" i="4"/>
  <c r="Y31" i="4"/>
  <c r="Y33" i="4" s="1"/>
  <c r="Y34" i="4" s="1"/>
  <c r="Y35" i="4" s="1"/>
  <c r="Y24" i="5" s="1"/>
  <c r="Y25" i="5" s="1"/>
  <c r="Y26" i="5" s="1"/>
  <c r="Y17" i="7" s="1"/>
  <c r="Y32" i="4"/>
  <c r="Z29" i="4" s="1"/>
  <c r="AC12" i="5"/>
  <c r="AC20" i="5" s="1"/>
  <c r="AC19" i="3"/>
  <c r="AD14" i="6"/>
  <c r="AD12" i="3"/>
  <c r="AC9" i="5"/>
  <c r="AC12" i="2"/>
  <c r="AC15" i="2" s="1"/>
  <c r="AI65" i="1" l="1"/>
  <c r="AH66" i="1"/>
  <c r="AH69" i="1"/>
  <c r="AH68" i="1"/>
  <c r="AG4" i="4"/>
  <c r="AG4" i="5"/>
  <c r="AG4" i="6"/>
  <c r="AG4" i="7"/>
  <c r="AG4" i="2"/>
  <c r="AG4" i="3"/>
  <c r="AG7" i="2"/>
  <c r="AG67" i="1"/>
  <c r="AG72" i="1"/>
  <c r="AG9" i="4" s="1"/>
  <c r="AG6" i="3"/>
  <c r="AG70" i="1"/>
  <c r="AG7" i="6" s="1"/>
  <c r="AG11" i="6" s="1"/>
  <c r="AG6" i="2"/>
  <c r="AG6" i="4"/>
  <c r="AG6" i="5"/>
  <c r="AG6" i="6"/>
  <c r="AG71" i="1"/>
  <c r="AG10" i="3" s="1"/>
  <c r="AG73" i="1"/>
  <c r="AG10" i="4" s="1"/>
  <c r="AG11" i="4" s="1"/>
  <c r="AG6" i="7"/>
  <c r="AF11" i="3"/>
  <c r="AF9" i="3"/>
  <c r="AF15" i="3" s="1"/>
  <c r="AF13" i="4"/>
  <c r="AF15" i="5" s="1"/>
  <c r="AF12" i="4"/>
  <c r="AF12" i="6"/>
  <c r="AF13" i="6"/>
  <c r="AF22" i="6"/>
  <c r="AF24" i="6"/>
  <c r="AF9" i="2"/>
  <c r="AF10" i="2" s="1"/>
  <c r="AF14" i="2"/>
  <c r="AF13" i="2"/>
  <c r="AF5" i="2"/>
  <c r="AF5" i="3"/>
  <c r="AF5" i="5"/>
  <c r="AF5" i="6"/>
  <c r="AF5" i="7"/>
  <c r="AF5" i="4"/>
  <c r="AE12" i="2"/>
  <c r="AE11" i="2"/>
  <c r="AE16" i="3"/>
  <c r="AE17" i="3" s="1"/>
  <c r="AE13" i="5" s="1"/>
  <c r="AE23" i="6"/>
  <c r="AE26" i="6"/>
  <c r="AD25" i="6"/>
  <c r="AD17" i="4"/>
  <c r="AD17" i="5"/>
  <c r="AC27" i="6"/>
  <c r="AC11" i="7"/>
  <c r="AA20" i="4"/>
  <c r="AA30" i="4"/>
  <c r="AB16" i="5"/>
  <c r="AB18" i="4"/>
  <c r="AB28" i="4"/>
  <c r="AC16" i="4"/>
  <c r="AC14" i="5"/>
  <c r="AD12" i="5"/>
  <c r="AD20" i="5" s="1"/>
  <c r="AD19" i="3"/>
  <c r="Z32" i="4"/>
  <c r="AA29" i="4" s="1"/>
  <c r="AA31" i="4" s="1"/>
  <c r="AE12" i="3"/>
  <c r="AE14" i="6"/>
  <c r="AD12" i="2"/>
  <c r="AJ65" i="1" l="1"/>
  <c r="AI66" i="1"/>
  <c r="AI68" i="1"/>
  <c r="AI69" i="1"/>
  <c r="AH4" i="3"/>
  <c r="AH4" i="5"/>
  <c r="AH4" i="6"/>
  <c r="AH4" i="7"/>
  <c r="AH4" i="2"/>
  <c r="AH4" i="4"/>
  <c r="AH70" i="1"/>
  <c r="AH7" i="6" s="1"/>
  <c r="AH11" i="6" s="1"/>
  <c r="AH6" i="2"/>
  <c r="AH6" i="4"/>
  <c r="AH71" i="1"/>
  <c r="AH10" i="3" s="1"/>
  <c r="AH72" i="1"/>
  <c r="AH9" i="4" s="1"/>
  <c r="AH73" i="1"/>
  <c r="AH10" i="4" s="1"/>
  <c r="AH11" i="4" s="1"/>
  <c r="AH6" i="3"/>
  <c r="AH6" i="5"/>
  <c r="AH6" i="6"/>
  <c r="AH6" i="7"/>
  <c r="AH67" i="1"/>
  <c r="AH7" i="2"/>
  <c r="AG9" i="2"/>
  <c r="AG10" i="2" s="1"/>
  <c r="AG13" i="2"/>
  <c r="AG14" i="2"/>
  <c r="AG5" i="4"/>
  <c r="AG5" i="2"/>
  <c r="AG5" i="5"/>
  <c r="AG5" i="6"/>
  <c r="AG5" i="3"/>
  <c r="AG5" i="7"/>
  <c r="AG11" i="3"/>
  <c r="AG9" i="3"/>
  <c r="AG15" i="3" s="1"/>
  <c r="AG12" i="6"/>
  <c r="AG13" i="6"/>
  <c r="AG22" i="6"/>
  <c r="AG24" i="6"/>
  <c r="AG12" i="4"/>
  <c r="AG13" i="4"/>
  <c r="AG15" i="5" s="1"/>
  <c r="AF16" i="3"/>
  <c r="AF17" i="3" s="1"/>
  <c r="AF13" i="5" s="1"/>
  <c r="AF23" i="6"/>
  <c r="AF26" i="6"/>
  <c r="AF11" i="2"/>
  <c r="AE25" i="6"/>
  <c r="AE17" i="4"/>
  <c r="AE17" i="5"/>
  <c r="AD27" i="6"/>
  <c r="AD11" i="7"/>
  <c r="AB20" i="4"/>
  <c r="AB30" i="4"/>
  <c r="AB31" i="4"/>
  <c r="AB33" i="4" s="1"/>
  <c r="AB34" i="4" s="1"/>
  <c r="AB35" i="4" s="1"/>
  <c r="AB24" i="5" s="1"/>
  <c r="AB25" i="5" s="1"/>
  <c r="AB26" i="5" s="1"/>
  <c r="AB17" i="7" s="1"/>
  <c r="AC28" i="4"/>
  <c r="AC18" i="4"/>
  <c r="AC16" i="5"/>
  <c r="AD14" i="5"/>
  <c r="AD16" i="4"/>
  <c r="AE19" i="3"/>
  <c r="AE12" i="5"/>
  <c r="AE20" i="5" s="1"/>
  <c r="AF12" i="3"/>
  <c r="AF14" i="6"/>
  <c r="AE15" i="2"/>
  <c r="AE9" i="5"/>
  <c r="AA32" i="4"/>
  <c r="AB29" i="4" s="1"/>
  <c r="AA33" i="4"/>
  <c r="AA34" i="4" s="1"/>
  <c r="AA35" i="4" s="1"/>
  <c r="AA24" i="5" s="1"/>
  <c r="AA25" i="5" s="1"/>
  <c r="AA26" i="5" s="1"/>
  <c r="AA17" i="7" s="1"/>
  <c r="AD15" i="2"/>
  <c r="AD9" i="5"/>
  <c r="AK65" i="1" l="1"/>
  <c r="AJ66" i="1"/>
  <c r="AJ69" i="1"/>
  <c r="AJ68" i="1"/>
  <c r="AI4" i="5"/>
  <c r="AI4" i="6"/>
  <c r="AI4" i="3"/>
  <c r="AI4" i="4"/>
  <c r="AI4" i="7"/>
  <c r="AI4" i="2"/>
  <c r="AI7" i="2"/>
  <c r="AI67" i="1"/>
  <c r="AI70" i="1"/>
  <c r="AI7" i="6" s="1"/>
  <c r="AI11" i="6" s="1"/>
  <c r="AI72" i="1"/>
  <c r="AI9" i="4" s="1"/>
  <c r="AI6" i="4"/>
  <c r="AI6" i="5"/>
  <c r="AI6" i="6"/>
  <c r="AI71" i="1"/>
  <c r="AI10" i="3" s="1"/>
  <c r="AI73" i="1"/>
  <c r="AI10" i="4" s="1"/>
  <c r="AI11" i="4" s="1"/>
  <c r="AI6" i="2"/>
  <c r="AI6" i="3"/>
  <c r="AI6" i="7"/>
  <c r="AH12" i="6"/>
  <c r="AH13" i="6"/>
  <c r="AH22" i="6"/>
  <c r="AH24" i="6"/>
  <c r="AH12" i="4"/>
  <c r="AH13" i="4"/>
  <c r="AH15" i="5" s="1"/>
  <c r="AH9" i="3"/>
  <c r="AH15" i="3"/>
  <c r="AH11" i="3"/>
  <c r="AH5" i="4"/>
  <c r="AH5" i="5"/>
  <c r="AH5" i="6"/>
  <c r="AH5" i="2"/>
  <c r="AH5" i="7"/>
  <c r="AH5" i="3"/>
  <c r="AH9" i="2"/>
  <c r="AH10" i="2" s="1"/>
  <c r="AH13" i="2"/>
  <c r="AH14" i="2"/>
  <c r="AG11" i="2"/>
  <c r="AG16" i="3"/>
  <c r="AG17" i="3" s="1"/>
  <c r="AG13" i="5" s="1"/>
  <c r="AG23" i="6"/>
  <c r="AG26" i="6"/>
  <c r="AF25" i="6"/>
  <c r="AF17" i="5"/>
  <c r="AF17" i="4"/>
  <c r="AE11" i="7"/>
  <c r="AE27" i="6"/>
  <c r="AC31" i="4"/>
  <c r="AC33" i="4" s="1"/>
  <c r="AC34" i="4" s="1"/>
  <c r="AC35" i="4" s="1"/>
  <c r="AC24" i="5" s="1"/>
  <c r="AC25" i="5" s="1"/>
  <c r="AC26" i="5" s="1"/>
  <c r="AC17" i="7" s="1"/>
  <c r="AC30" i="4"/>
  <c r="AC20" i="4"/>
  <c r="AD16" i="5"/>
  <c r="AD18" i="4"/>
  <c r="AD28" i="4"/>
  <c r="AE16" i="4"/>
  <c r="AE14" i="5"/>
  <c r="AF12" i="5"/>
  <c r="AF20" i="5" s="1"/>
  <c r="AF19" i="3"/>
  <c r="AG12" i="3"/>
  <c r="AB32" i="4"/>
  <c r="AC29" i="4" s="1"/>
  <c r="AG14" i="6"/>
  <c r="AF15" i="2"/>
  <c r="AF12" i="2"/>
  <c r="AF9" i="5"/>
  <c r="AL65" i="1" l="1"/>
  <c r="AK66" i="1"/>
  <c r="AK68" i="1"/>
  <c r="AK69" i="1"/>
  <c r="AJ4" i="4"/>
  <c r="AJ4" i="5"/>
  <c r="AJ4" i="6"/>
  <c r="AJ4" i="2"/>
  <c r="AJ4" i="7"/>
  <c r="AJ4" i="3"/>
  <c r="AJ72" i="1"/>
  <c r="AJ9" i="4" s="1"/>
  <c r="AJ6" i="4"/>
  <c r="AJ6" i="7"/>
  <c r="AJ6" i="2"/>
  <c r="AJ6" i="3"/>
  <c r="AJ70" i="1"/>
  <c r="AJ7" i="6" s="1"/>
  <c r="AJ11" i="6" s="1"/>
  <c r="AJ71" i="1"/>
  <c r="AJ10" i="3" s="1"/>
  <c r="AJ73" i="1"/>
  <c r="AJ10" i="4" s="1"/>
  <c r="AJ11" i="4" s="1"/>
  <c r="AJ6" i="5"/>
  <c r="AJ6" i="6"/>
  <c r="AJ67" i="1"/>
  <c r="AJ7" i="2"/>
  <c r="AI13" i="2"/>
  <c r="AI14" i="2"/>
  <c r="AI9" i="2"/>
  <c r="AI10" i="2" s="1"/>
  <c r="AI5" i="2"/>
  <c r="AI5" i="5"/>
  <c r="AI5" i="6"/>
  <c r="AI5" i="7"/>
  <c r="AI5" i="3"/>
  <c r="AI5" i="4"/>
  <c r="AI12" i="6"/>
  <c r="AI13" i="6"/>
  <c r="AI22" i="6"/>
  <c r="AI24" i="6"/>
  <c r="AI12" i="4"/>
  <c r="AI13" i="4"/>
  <c r="AI15" i="5" s="1"/>
  <c r="AI11" i="3"/>
  <c r="AI9" i="3"/>
  <c r="AI15" i="3" s="1"/>
  <c r="AH23" i="6"/>
  <c r="AH26" i="6"/>
  <c r="AH16" i="3"/>
  <c r="AH17" i="3"/>
  <c r="AH13" i="5" s="1"/>
  <c r="AH11" i="2"/>
  <c r="AG25" i="6"/>
  <c r="AG17" i="4"/>
  <c r="AG17" i="5"/>
  <c r="AF11" i="7"/>
  <c r="AF27" i="6"/>
  <c r="AD20" i="4"/>
  <c r="AD30" i="4"/>
  <c r="AD31" i="4"/>
  <c r="AD33" i="4" s="1"/>
  <c r="AD34" i="4" s="1"/>
  <c r="AD35" i="4" s="1"/>
  <c r="AD24" i="5" s="1"/>
  <c r="AD25" i="5" s="1"/>
  <c r="AD26" i="5" s="1"/>
  <c r="AD17" i="7" s="1"/>
  <c r="AE28" i="4"/>
  <c r="AE18" i="4"/>
  <c r="AE16" i="5"/>
  <c r="AF14" i="5"/>
  <c r="AF16" i="4"/>
  <c r="AG12" i="5"/>
  <c r="AG20" i="5" s="1"/>
  <c r="AG19" i="3"/>
  <c r="AC32" i="4"/>
  <c r="AD29" i="4" s="1"/>
  <c r="AH14" i="6"/>
  <c r="AH12" i="3"/>
  <c r="AG12" i="2"/>
  <c r="AM65" i="1" l="1"/>
  <c r="AL66" i="1"/>
  <c r="AL69" i="1"/>
  <c r="AL68" i="1"/>
  <c r="AK4" i="2"/>
  <c r="AK4" i="5"/>
  <c r="AK4" i="6"/>
  <c r="AK4" i="7"/>
  <c r="AK4" i="3"/>
  <c r="AK4" i="4"/>
  <c r="AK7" i="2"/>
  <c r="AK67" i="1"/>
  <c r="AK73" i="1"/>
  <c r="AK10" i="4" s="1"/>
  <c r="AK11" i="4" s="1"/>
  <c r="AK72" i="1"/>
  <c r="AK9" i="4" s="1"/>
  <c r="AK6" i="2"/>
  <c r="AK6" i="4"/>
  <c r="AK6" i="5"/>
  <c r="AK6" i="6"/>
  <c r="AK6" i="7"/>
  <c r="AK12" i="7" s="1"/>
  <c r="AK70" i="1"/>
  <c r="AK7" i="6" s="1"/>
  <c r="AK11" i="6" s="1"/>
  <c r="AK71" i="1"/>
  <c r="AK10" i="3" s="1"/>
  <c r="AK6" i="3"/>
  <c r="AJ12" i="4"/>
  <c r="AJ13" i="4"/>
  <c r="AJ15" i="5" s="1"/>
  <c r="AJ11" i="3"/>
  <c r="AJ9" i="3"/>
  <c r="AJ15" i="3" s="1"/>
  <c r="AJ12" i="6"/>
  <c r="AJ14" i="6" s="1"/>
  <c r="AJ13" i="6"/>
  <c r="AJ22" i="6"/>
  <c r="AJ24" i="6"/>
  <c r="AJ5" i="2"/>
  <c r="AJ5" i="3"/>
  <c r="AJ5" i="5"/>
  <c r="AJ5" i="6"/>
  <c r="AJ5" i="7"/>
  <c r="AJ5" i="4"/>
  <c r="AJ14" i="2"/>
  <c r="AJ9" i="2"/>
  <c r="AJ10" i="2" s="1"/>
  <c r="AJ13" i="2"/>
  <c r="AI11" i="2"/>
  <c r="AI23" i="6"/>
  <c r="AI26" i="6"/>
  <c r="AI16" i="3"/>
  <c r="AI17" i="3"/>
  <c r="AI13" i="5" s="1"/>
  <c r="AH25" i="6"/>
  <c r="AH17" i="5"/>
  <c r="AH17" i="4"/>
  <c r="AG27" i="6"/>
  <c r="AG11" i="7"/>
  <c r="AE30" i="4"/>
  <c r="AE20" i="4"/>
  <c r="AF16" i="5"/>
  <c r="AF18" i="4"/>
  <c r="AF28" i="4"/>
  <c r="AG16" i="4"/>
  <c r="AG14" i="5"/>
  <c r="AH19" i="3"/>
  <c r="AH12" i="5"/>
  <c r="AH20" i="5" s="1"/>
  <c r="AI14" i="6"/>
  <c r="AI12" i="3"/>
  <c r="AD32" i="4"/>
  <c r="AE29" i="4" s="1"/>
  <c r="AE31" i="4" s="1"/>
  <c r="AH12" i="2"/>
  <c r="AG9" i="5"/>
  <c r="AG15" i="2"/>
  <c r="AN65" i="1" l="1"/>
  <c r="AM66" i="1"/>
  <c r="AM68" i="1"/>
  <c r="AM69" i="1"/>
  <c r="AL4" i="3"/>
  <c r="AL4" i="5"/>
  <c r="AL4" i="6"/>
  <c r="AL4" i="7"/>
  <c r="AL4" i="2"/>
  <c r="AL4" i="4"/>
  <c r="AL71" i="1"/>
  <c r="AL10" i="3" s="1"/>
  <c r="AL6" i="2"/>
  <c r="AL6" i="3"/>
  <c r="AL6" i="5"/>
  <c r="AL6" i="6"/>
  <c r="AL73" i="1"/>
  <c r="AL10" i="4" s="1"/>
  <c r="AL11" i="4" s="1"/>
  <c r="AL6" i="7"/>
  <c r="AL12" i="7" s="1"/>
  <c r="AL70" i="1"/>
  <c r="AL7" i="6" s="1"/>
  <c r="AL11" i="6" s="1"/>
  <c r="AL72" i="1"/>
  <c r="AL9" i="4" s="1"/>
  <c r="AL6" i="4"/>
  <c r="AL7" i="2"/>
  <c r="AL67" i="1"/>
  <c r="AK9" i="2"/>
  <c r="AK10" i="2" s="1"/>
  <c r="AK14" i="2"/>
  <c r="AK13" i="2"/>
  <c r="AK5" i="3"/>
  <c r="AK5" i="4"/>
  <c r="AK5" i="5"/>
  <c r="AK5" i="6"/>
  <c r="AK5" i="2"/>
  <c r="AK5" i="7"/>
  <c r="AK13" i="4"/>
  <c r="AK15" i="5" s="1"/>
  <c r="AK12" i="4"/>
  <c r="AK12" i="6"/>
  <c r="AK13" i="6"/>
  <c r="AK22" i="6"/>
  <c r="AK24" i="6"/>
  <c r="AK11" i="3"/>
  <c r="AK9" i="3"/>
  <c r="AK15" i="3"/>
  <c r="AJ16" i="3"/>
  <c r="AJ17" i="3" s="1"/>
  <c r="AJ13" i="5" s="1"/>
  <c r="AJ23" i="6"/>
  <c r="AJ26" i="6"/>
  <c r="AJ11" i="2"/>
  <c r="AI25" i="6"/>
  <c r="AI17" i="4"/>
  <c r="AI17" i="5"/>
  <c r="AH27" i="6"/>
  <c r="AH11" i="7"/>
  <c r="AF20" i="4"/>
  <c r="AF30" i="4"/>
  <c r="AF31" i="4"/>
  <c r="AF33" i="4" s="1"/>
  <c r="AF34" i="4" s="1"/>
  <c r="AF35" i="4" s="1"/>
  <c r="AF24" i="5" s="1"/>
  <c r="AF25" i="5" s="1"/>
  <c r="AF26" i="5" s="1"/>
  <c r="AF17" i="7" s="1"/>
  <c r="AG28" i="4"/>
  <c r="AG18" i="4"/>
  <c r="AG16" i="5"/>
  <c r="AH16" i="4"/>
  <c r="AH14" i="5"/>
  <c r="AI12" i="5"/>
  <c r="AI20" i="5" s="1"/>
  <c r="AI19" i="3"/>
  <c r="AJ12" i="3"/>
  <c r="AI9" i="5"/>
  <c r="AI15" i="2"/>
  <c r="AI12" i="2"/>
  <c r="AE32" i="4"/>
  <c r="AF29" i="4" s="1"/>
  <c r="AE33" i="4"/>
  <c r="AE34" i="4" s="1"/>
  <c r="AE35" i="4" s="1"/>
  <c r="AE24" i="5" s="1"/>
  <c r="AE25" i="5" s="1"/>
  <c r="AE26" i="5" s="1"/>
  <c r="AE17" i="7" s="1"/>
  <c r="AH15" i="2"/>
  <c r="AH9" i="5"/>
  <c r="AO65" i="1" l="1"/>
  <c r="AN66" i="1"/>
  <c r="AN69" i="1"/>
  <c r="AN68" i="1"/>
  <c r="AM4" i="5"/>
  <c r="AM4" i="6"/>
  <c r="AM4" i="7"/>
  <c r="AM4" i="2"/>
  <c r="AM4" i="3"/>
  <c r="AM4" i="4"/>
  <c r="AM67" i="1"/>
  <c r="AM7" i="2"/>
  <c r="AM6" i="2"/>
  <c r="AM6" i="3"/>
  <c r="AM70" i="1"/>
  <c r="AM7" i="6" s="1"/>
  <c r="AM11" i="6" s="1"/>
  <c r="AM73" i="1"/>
  <c r="AM10" i="4" s="1"/>
  <c r="AM11" i="4" s="1"/>
  <c r="AM6" i="5"/>
  <c r="AM6" i="6"/>
  <c r="AM71" i="1"/>
  <c r="AM10" i="3" s="1"/>
  <c r="AM72" i="1"/>
  <c r="AM9" i="4" s="1"/>
  <c r="AM6" i="4"/>
  <c r="AM6" i="7"/>
  <c r="AM12" i="7" s="1"/>
  <c r="AL15" i="3"/>
  <c r="AL9" i="3"/>
  <c r="AL11" i="3"/>
  <c r="AL12" i="6"/>
  <c r="AL14" i="6" s="1"/>
  <c r="AL13" i="6"/>
  <c r="AL22" i="6"/>
  <c r="AL24" i="6"/>
  <c r="AL12" i="4"/>
  <c r="AL13" i="4"/>
  <c r="AL15" i="5" s="1"/>
  <c r="AL13" i="2"/>
  <c r="AL9" i="2"/>
  <c r="AL10" i="2" s="1"/>
  <c r="AL14" i="2"/>
  <c r="AL5" i="2"/>
  <c r="AL5" i="5"/>
  <c r="AL5" i="6"/>
  <c r="AL5" i="7"/>
  <c r="AL5" i="3"/>
  <c r="AL5" i="4"/>
  <c r="AK11" i="2"/>
  <c r="AK9" i="5" s="1"/>
  <c r="AK12" i="2"/>
  <c r="AK15" i="2" s="1"/>
  <c r="AK23" i="6"/>
  <c r="AK26" i="6"/>
  <c r="AK16" i="3"/>
  <c r="AK17" i="3"/>
  <c r="AK13" i="5" s="1"/>
  <c r="AJ25" i="6"/>
  <c r="AJ17" i="4"/>
  <c r="AJ17" i="5"/>
  <c r="AI27" i="6"/>
  <c r="AI11" i="7"/>
  <c r="AG30" i="4"/>
  <c r="AG31" i="4"/>
  <c r="AG33" i="4" s="1"/>
  <c r="AG34" i="4" s="1"/>
  <c r="AG35" i="4" s="1"/>
  <c r="AG24" i="5" s="1"/>
  <c r="AG25" i="5" s="1"/>
  <c r="AG26" i="5" s="1"/>
  <c r="AG17" i="7" s="1"/>
  <c r="AG20" i="4"/>
  <c r="AH18" i="4"/>
  <c r="AH28" i="4"/>
  <c r="AH16" i="5"/>
  <c r="AI16" i="4"/>
  <c r="AI14" i="5"/>
  <c r="AJ19" i="3"/>
  <c r="AJ12" i="5"/>
  <c r="AJ20" i="5" s="1"/>
  <c r="AF32" i="4"/>
  <c r="AG29" i="4" s="1"/>
  <c r="AK14" i="6"/>
  <c r="AK12" i="3"/>
  <c r="AJ12" i="2"/>
  <c r="AJ9" i="5" s="1"/>
  <c r="AJ15" i="2"/>
  <c r="AP65" i="1" l="1"/>
  <c r="AO66" i="1"/>
  <c r="AO69" i="1"/>
  <c r="AO68" i="1"/>
  <c r="AN4" i="2"/>
  <c r="AN4" i="4"/>
  <c r="AN4" i="5"/>
  <c r="AN4" i="6"/>
  <c r="AN4" i="7"/>
  <c r="AN4" i="3"/>
  <c r="AN70" i="1"/>
  <c r="AN7" i="6" s="1"/>
  <c r="AN11" i="6" s="1"/>
  <c r="AN6" i="2"/>
  <c r="AN6" i="3"/>
  <c r="AN73" i="1"/>
  <c r="AN10" i="4" s="1"/>
  <c r="AN11" i="4" s="1"/>
  <c r="AN71" i="1"/>
  <c r="AN10" i="3" s="1"/>
  <c r="AN72" i="1"/>
  <c r="AN9" i="4" s="1"/>
  <c r="AN6" i="4"/>
  <c r="AN6" i="5"/>
  <c r="AN6" i="6"/>
  <c r="AN6" i="7"/>
  <c r="AN12" i="7" s="1"/>
  <c r="AN7" i="2"/>
  <c r="AN67" i="1"/>
  <c r="AM5" i="2"/>
  <c r="AM5" i="5"/>
  <c r="AM5" i="6"/>
  <c r="AM5" i="7"/>
  <c r="AM5" i="3"/>
  <c r="AM5" i="4"/>
  <c r="AM9" i="2"/>
  <c r="AM10" i="2" s="1"/>
  <c r="AM13" i="2"/>
  <c r="AM14" i="2"/>
  <c r="AM15" i="3"/>
  <c r="AM11" i="3"/>
  <c r="AM9" i="3"/>
  <c r="AM12" i="3" s="1"/>
  <c r="AM12" i="6"/>
  <c r="AM13" i="6"/>
  <c r="AM22" i="6"/>
  <c r="AM24" i="6"/>
  <c r="AM12" i="4"/>
  <c r="AM13" i="4"/>
  <c r="AM15" i="5" s="1"/>
  <c r="AL16" i="3"/>
  <c r="AL17" i="3" s="1"/>
  <c r="AL13" i="5" s="1"/>
  <c r="AL23" i="6"/>
  <c r="AL26" i="6"/>
  <c r="AL11" i="2"/>
  <c r="AK25" i="6"/>
  <c r="AK17" i="4"/>
  <c r="AK17" i="5"/>
  <c r="AJ27" i="6"/>
  <c r="AJ11" i="7"/>
  <c r="AH20" i="4"/>
  <c r="AH30" i="4"/>
  <c r="AH31" i="4"/>
  <c r="AH33" i="4" s="1"/>
  <c r="AH34" i="4" s="1"/>
  <c r="AH35" i="4" s="1"/>
  <c r="AH24" i="5" s="1"/>
  <c r="AH25" i="5" s="1"/>
  <c r="AH26" i="5" s="1"/>
  <c r="AH17" i="7" s="1"/>
  <c r="AI18" i="4"/>
  <c r="AI28" i="4"/>
  <c r="AI16" i="5"/>
  <c r="AJ14" i="5"/>
  <c r="AJ16" i="4"/>
  <c r="AK12" i="5"/>
  <c r="AK20" i="5" s="1"/>
  <c r="AK19" i="3"/>
  <c r="AL12" i="3"/>
  <c r="AG32" i="4"/>
  <c r="AH29" i="4" s="1"/>
  <c r="AQ65" i="1" l="1"/>
  <c r="AP66" i="1"/>
  <c r="AP68" i="1"/>
  <c r="AP69" i="1"/>
  <c r="AO4" i="3"/>
  <c r="AO4" i="5"/>
  <c r="AO4" i="6"/>
  <c r="AO4" i="7"/>
  <c r="AO4" i="2"/>
  <c r="AO4" i="4"/>
  <c r="AO6" i="2"/>
  <c r="AO6" i="3"/>
  <c r="AO6" i="5"/>
  <c r="AO6" i="6"/>
  <c r="AO71" i="1"/>
  <c r="AO10" i="3" s="1"/>
  <c r="AO72" i="1"/>
  <c r="AO9" i="4" s="1"/>
  <c r="AO6" i="4"/>
  <c r="AO6" i="7"/>
  <c r="AO12" i="7" s="1"/>
  <c r="AO70" i="1"/>
  <c r="AO7" i="6" s="1"/>
  <c r="AO11" i="6" s="1"/>
  <c r="AO73" i="1"/>
  <c r="AO10" i="4" s="1"/>
  <c r="AO11" i="4" s="1"/>
  <c r="AO7" i="2"/>
  <c r="AO67" i="1"/>
  <c r="AN12" i="6"/>
  <c r="AN14" i="6" s="1"/>
  <c r="AN13" i="6"/>
  <c r="AN24" i="6"/>
  <c r="AN22" i="6"/>
  <c r="AN11" i="3"/>
  <c r="AN9" i="3"/>
  <c r="AN12" i="3" s="1"/>
  <c r="AN15" i="3"/>
  <c r="AN13" i="4"/>
  <c r="AN15" i="5" s="1"/>
  <c r="AN12" i="4"/>
  <c r="AN9" i="2"/>
  <c r="AN10" i="2" s="1"/>
  <c r="AN14" i="2"/>
  <c r="AN13" i="2"/>
  <c r="AN5" i="3"/>
  <c r="AN5" i="5"/>
  <c r="AN5" i="6"/>
  <c r="AN5" i="7"/>
  <c r="AN5" i="2"/>
  <c r="AN5" i="4"/>
  <c r="AM11" i="2"/>
  <c r="AM15" i="2" s="1"/>
  <c r="AM12" i="2"/>
  <c r="AM9" i="5" s="1"/>
  <c r="AM16" i="3"/>
  <c r="AM17" i="3" s="1"/>
  <c r="AM12" i="5"/>
  <c r="AM20" i="5" s="1"/>
  <c r="AM23" i="6"/>
  <c r="AM26" i="6"/>
  <c r="AL25" i="6"/>
  <c r="AL17" i="4"/>
  <c r="AL17" i="5"/>
  <c r="AK27" i="6"/>
  <c r="AK11" i="7"/>
  <c r="AI20" i="4"/>
  <c r="AI30" i="4"/>
  <c r="AJ16" i="5"/>
  <c r="AJ28" i="4"/>
  <c r="AJ18" i="4"/>
  <c r="AK14" i="5"/>
  <c r="AK16" i="4"/>
  <c r="AL19" i="3"/>
  <c r="AL12" i="5"/>
  <c r="AL20" i="5" s="1"/>
  <c r="AM14" i="6"/>
  <c r="AH32" i="4"/>
  <c r="AI29" i="4" s="1"/>
  <c r="AI31" i="4" s="1"/>
  <c r="AI33" i="4" s="1"/>
  <c r="AI34" i="4" s="1"/>
  <c r="AI35" i="4" s="1"/>
  <c r="AI24" i="5" s="1"/>
  <c r="AI25" i="5" s="1"/>
  <c r="AI26" i="5" s="1"/>
  <c r="AI17" i="7" s="1"/>
  <c r="AL12" i="2"/>
  <c r="AQ66" i="1" l="1"/>
  <c r="AQ69" i="1"/>
  <c r="AQ68" i="1"/>
  <c r="AP4" i="5"/>
  <c r="AP4" i="6"/>
  <c r="AP4" i="7"/>
  <c r="AP4" i="2"/>
  <c r="AP4" i="3"/>
  <c r="AP4" i="4"/>
  <c r="AP7" i="2"/>
  <c r="AP67" i="1"/>
  <c r="AP6" i="2"/>
  <c r="AP6" i="3"/>
  <c r="AP70" i="1"/>
  <c r="AP7" i="6" s="1"/>
  <c r="AP11" i="6" s="1"/>
  <c r="AP71" i="1"/>
  <c r="AP10" i="3" s="1"/>
  <c r="AP72" i="1"/>
  <c r="AP9" i="4" s="1"/>
  <c r="AP6" i="4"/>
  <c r="AP6" i="5"/>
  <c r="AP6" i="6"/>
  <c r="AP6" i="7"/>
  <c r="AP12" i="7" s="1"/>
  <c r="AP73" i="1"/>
  <c r="AP10" i="4" s="1"/>
  <c r="AP11" i="4" s="1"/>
  <c r="AO9" i="3"/>
  <c r="AO11" i="3"/>
  <c r="AO15" i="3"/>
  <c r="AO12" i="4"/>
  <c r="AO13" i="4"/>
  <c r="AO15" i="5" s="1"/>
  <c r="AO12" i="6"/>
  <c r="AO13" i="6"/>
  <c r="AO22" i="6"/>
  <c r="AO24" i="6"/>
  <c r="AO14" i="2"/>
  <c r="AO9" i="2"/>
  <c r="AO10" i="2" s="1"/>
  <c r="AO13" i="2"/>
  <c r="AO5" i="2"/>
  <c r="AO5" i="4"/>
  <c r="AO5" i="5"/>
  <c r="AO5" i="6"/>
  <c r="AO5" i="3"/>
  <c r="AO5" i="7"/>
  <c r="AN23" i="6"/>
  <c r="AN26" i="6"/>
  <c r="AN12" i="5"/>
  <c r="AN20" i="5" s="1"/>
  <c r="AN16" i="3"/>
  <c r="AN17" i="3" s="1"/>
  <c r="AN11" i="2"/>
  <c r="AM25" i="6"/>
  <c r="AM17" i="4"/>
  <c r="AM17" i="5"/>
  <c r="AL27" i="6"/>
  <c r="AL11" i="7"/>
  <c r="AJ30" i="4"/>
  <c r="AJ20" i="4"/>
  <c r="AK16" i="5"/>
  <c r="AK18" i="4"/>
  <c r="AK28" i="4"/>
  <c r="AL14" i="5"/>
  <c r="AL16" i="4"/>
  <c r="AI32" i="4"/>
  <c r="AJ29" i="4" s="1"/>
  <c r="AJ31" i="4" s="1"/>
  <c r="AM19" i="3"/>
  <c r="AM13" i="5"/>
  <c r="AL9" i="5"/>
  <c r="AL15" i="2"/>
  <c r="AQ4" i="3" l="1"/>
  <c r="AQ4" i="4"/>
  <c r="AQ4" i="5"/>
  <c r="AQ4" i="6"/>
  <c r="AQ4" i="7"/>
  <c r="AQ4" i="2"/>
  <c r="AQ70" i="1"/>
  <c r="AQ7" i="6" s="1"/>
  <c r="AQ71" i="1"/>
  <c r="AQ10" i="3" s="1"/>
  <c r="AQ6" i="2"/>
  <c r="AQ6" i="3"/>
  <c r="AQ6" i="4"/>
  <c r="AQ6" i="7"/>
  <c r="AQ12" i="7" s="1"/>
  <c r="AQ72" i="1"/>
  <c r="AQ9" i="4" s="1"/>
  <c r="AQ73" i="1"/>
  <c r="AQ10" i="4" s="1"/>
  <c r="AQ11" i="4" s="1"/>
  <c r="AQ6" i="5"/>
  <c r="AQ6" i="6"/>
  <c r="AQ7" i="2"/>
  <c r="AQ67" i="1"/>
  <c r="AP13" i="2"/>
  <c r="AP14" i="2"/>
  <c r="AP9" i="2"/>
  <c r="AP10" i="2" s="1"/>
  <c r="AP5" i="3"/>
  <c r="AP5" i="2"/>
  <c r="AP5" i="5"/>
  <c r="AP5" i="6"/>
  <c r="AP5" i="4"/>
  <c r="AP5" i="7"/>
  <c r="AP11" i="3"/>
  <c r="AP9" i="3"/>
  <c r="AP12" i="3" s="1"/>
  <c r="AP15" i="3"/>
  <c r="AP12" i="6"/>
  <c r="AP13" i="6"/>
  <c r="AP24" i="6"/>
  <c r="AP22" i="6"/>
  <c r="AP13" i="4"/>
  <c r="AP15" i="5" s="1"/>
  <c r="AP12" i="4"/>
  <c r="AO16" i="3"/>
  <c r="AO17" i="3" s="1"/>
  <c r="AO13" i="5" s="1"/>
  <c r="AO23" i="6"/>
  <c r="AO26" i="6"/>
  <c r="AO11" i="2"/>
  <c r="AO9" i="5" s="1"/>
  <c r="AO12" i="2"/>
  <c r="AO15" i="2" s="1"/>
  <c r="AN25" i="6"/>
  <c r="AN17" i="4"/>
  <c r="AN17" i="5"/>
  <c r="AM27" i="6"/>
  <c r="AM11" i="7"/>
  <c r="AK20" i="4"/>
  <c r="AK30" i="4"/>
  <c r="AK31" i="4"/>
  <c r="AK33" i="4" s="1"/>
  <c r="AK34" i="4" s="1"/>
  <c r="AK35" i="4" s="1"/>
  <c r="AK24" i="5" s="1"/>
  <c r="AK25" i="5" s="1"/>
  <c r="AK26" i="5" s="1"/>
  <c r="AK17" i="7" s="1"/>
  <c r="AL16" i="5"/>
  <c r="AL18" i="4"/>
  <c r="AL28" i="4"/>
  <c r="AM14" i="5"/>
  <c r="AM16" i="4"/>
  <c r="AO14" i="6"/>
  <c r="AO12" i="3"/>
  <c r="AN19" i="3"/>
  <c r="AN13" i="5"/>
  <c r="AN12" i="2"/>
  <c r="AN15" i="2" s="1"/>
  <c r="AN9" i="5"/>
  <c r="AJ32" i="4"/>
  <c r="AK29" i="4" s="1"/>
  <c r="AJ33" i="4"/>
  <c r="AJ34" i="4" s="1"/>
  <c r="AJ35" i="4" s="1"/>
  <c r="AJ24" i="5" s="1"/>
  <c r="AJ25" i="5" s="1"/>
  <c r="AJ26" i="5" s="1"/>
  <c r="AJ17" i="7" s="1"/>
  <c r="AQ11" i="6" l="1"/>
  <c r="AQ11" i="3"/>
  <c r="AQ9" i="3"/>
  <c r="AQ12" i="3" s="1"/>
  <c r="AQ15" i="3"/>
  <c r="AQ12" i="4"/>
  <c r="AQ13" i="4"/>
  <c r="AQ15" i="5" s="1"/>
  <c r="AQ9" i="2"/>
  <c r="AQ10" i="2" s="1"/>
  <c r="AQ13" i="2"/>
  <c r="C27" i="2" s="1"/>
  <c r="C24" i="8" s="1"/>
  <c r="AQ14" i="2"/>
  <c r="AQ5" i="2"/>
  <c r="AQ5" i="4"/>
  <c r="AQ5" i="5"/>
  <c r="AQ5" i="6"/>
  <c r="AQ5" i="7"/>
  <c r="AQ5" i="3"/>
  <c r="AP11" i="2"/>
  <c r="AP12" i="2"/>
  <c r="AP12" i="5"/>
  <c r="AP20" i="5" s="1"/>
  <c r="AP17" i="3"/>
  <c r="AP16" i="3"/>
  <c r="AP23" i="6"/>
  <c r="AP26" i="6"/>
  <c r="AO25" i="6"/>
  <c r="AO17" i="4"/>
  <c r="AO17" i="5"/>
  <c r="AN27" i="6"/>
  <c r="AN11" i="7"/>
  <c r="AL20" i="4"/>
  <c r="AL31" i="4"/>
  <c r="AL33" i="4" s="1"/>
  <c r="AL34" i="4" s="1"/>
  <c r="AL35" i="4" s="1"/>
  <c r="AL24" i="5" s="1"/>
  <c r="AL25" i="5" s="1"/>
  <c r="AL26" i="5" s="1"/>
  <c r="AL17" i="7" s="1"/>
  <c r="AL30" i="4"/>
  <c r="AM16" i="5"/>
  <c r="AM18" i="4"/>
  <c r="AM28" i="4"/>
  <c r="AO12" i="5"/>
  <c r="AO20" i="5" s="1"/>
  <c r="AO19" i="3"/>
  <c r="AN16" i="4"/>
  <c r="AN14" i="5"/>
  <c r="AP14" i="6"/>
  <c r="AK32" i="4"/>
  <c r="AL29" i="4" s="1"/>
  <c r="AQ12" i="6" l="1"/>
  <c r="AQ14" i="6" s="1"/>
  <c r="AQ13" i="6"/>
  <c r="AQ22" i="6"/>
  <c r="AQ24" i="6"/>
  <c r="AQ12" i="5"/>
  <c r="AQ20" i="5" s="1"/>
  <c r="AQ16" i="3"/>
  <c r="AQ17" i="3"/>
  <c r="C24" i="2"/>
  <c r="AQ12" i="2"/>
  <c r="AQ11" i="2"/>
  <c r="AP25" i="6"/>
  <c r="AP17" i="4"/>
  <c r="AP17" i="5"/>
  <c r="AO27" i="6"/>
  <c r="AO11" i="7"/>
  <c r="AM20" i="4"/>
  <c r="AM30" i="4"/>
  <c r="AM31" i="4"/>
  <c r="AM33" i="4" s="1"/>
  <c r="AM34" i="4" s="1"/>
  <c r="AM35" i="4" s="1"/>
  <c r="AM24" i="5" s="1"/>
  <c r="AM25" i="5" s="1"/>
  <c r="AM26" i="5" s="1"/>
  <c r="AM17" i="7" s="1"/>
  <c r="AO16" i="4"/>
  <c r="AO14" i="5"/>
  <c r="AN28" i="4"/>
  <c r="AN18" i="4"/>
  <c r="AN16" i="5"/>
  <c r="AL32" i="4"/>
  <c r="AM29" i="4" s="1"/>
  <c r="AP15" i="2"/>
  <c r="AP9" i="5"/>
  <c r="AP13" i="5"/>
  <c r="AP19" i="3"/>
  <c r="AQ23" i="6" l="1"/>
  <c r="AQ26" i="6"/>
  <c r="AP27" i="6"/>
  <c r="AP11" i="7"/>
  <c r="AO28" i="4"/>
  <c r="AO18" i="4"/>
  <c r="AO16" i="5"/>
  <c r="AN30" i="4"/>
  <c r="AN31" i="4"/>
  <c r="AN33" i="4" s="1"/>
  <c r="AN34" i="4" s="1"/>
  <c r="AN35" i="4" s="1"/>
  <c r="AN24" i="5" s="1"/>
  <c r="AN25" i="5" s="1"/>
  <c r="AN26" i="5" s="1"/>
  <c r="AN17" i="7" s="1"/>
  <c r="AN20" i="4"/>
  <c r="AP16" i="4"/>
  <c r="AP14" i="5"/>
  <c r="AM32" i="4"/>
  <c r="AN29" i="4" s="1"/>
  <c r="AQ13" i="5"/>
  <c r="AQ19" i="3"/>
  <c r="C26" i="2"/>
  <c r="C22" i="8" s="1"/>
  <c r="AQ15" i="2"/>
  <c r="C25" i="2"/>
  <c r="C23" i="8" s="1"/>
  <c r="AQ9" i="5"/>
  <c r="AQ25" i="6" l="1"/>
  <c r="AQ17" i="4"/>
  <c r="AQ17" i="5"/>
  <c r="AO30" i="4"/>
  <c r="AO20" i="4"/>
  <c r="AP18" i="4"/>
  <c r="AP28" i="4"/>
  <c r="AP16" i="5"/>
  <c r="AQ14" i="5"/>
  <c r="AQ16" i="4"/>
  <c r="AN32" i="4"/>
  <c r="AO29" i="4" s="1"/>
  <c r="AO31" i="4" s="1"/>
  <c r="AQ27" i="6" l="1"/>
  <c r="AQ11" i="7"/>
  <c r="AP20" i="4"/>
  <c r="AP30" i="4"/>
  <c r="AQ16" i="5"/>
  <c r="AQ28" i="4"/>
  <c r="AQ18" i="4"/>
  <c r="AO32" i="4"/>
  <c r="AP29" i="4" s="1"/>
  <c r="AP31" i="4" s="1"/>
  <c r="AO33" i="4"/>
  <c r="AO34" i="4" s="1"/>
  <c r="AO35" i="4" s="1"/>
  <c r="AO24" i="5" s="1"/>
  <c r="AO25" i="5" s="1"/>
  <c r="AO26" i="5" s="1"/>
  <c r="AO17" i="7" s="1"/>
  <c r="AQ30" i="4" l="1"/>
  <c r="AQ20" i="4"/>
  <c r="AP32" i="4"/>
  <c r="AQ29" i="4" s="1"/>
  <c r="AQ31" i="4" s="1"/>
  <c r="AP33" i="4"/>
  <c r="AP34" i="4" s="1"/>
  <c r="AP35" i="4" s="1"/>
  <c r="AP24" i="5" s="1"/>
  <c r="AP25" i="5" s="1"/>
  <c r="AP26" i="5" s="1"/>
  <c r="AP17" i="7" s="1"/>
  <c r="AQ32" i="4" l="1"/>
  <c r="AQ33" i="4"/>
  <c r="AQ34" i="4" s="1"/>
  <c r="AQ35" i="4" s="1"/>
  <c r="AQ24" i="5" s="1"/>
  <c r="AQ25" i="5" s="1"/>
  <c r="AQ26" i="5" s="1"/>
  <c r="AQ17" i="7" s="1"/>
  <c r="C22" i="7" l="1"/>
  <c r="C23" i="7"/>
  <c r="C31" i="8" s="1"/>
  <c r="D4" i="8" l="1"/>
  <c r="C30" i="8"/>
  <c r="F14" i="2" l="1"/>
  <c r="F15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C28" i="2"/>
  <c r="C29" i="2"/>
  <c r="C31" i="2"/>
  <c r="C32" i="2"/>
  <c r="C33" i="2"/>
  <c r="C34" i="2"/>
  <c r="A4" i="8"/>
  <c r="F4" i="8"/>
  <c r="H4" i="8"/>
  <c r="J4" i="8"/>
  <c r="G24" i="8"/>
  <c r="C25" i="8"/>
  <c r="G25" i="8"/>
  <c r="C26" i="8"/>
  <c r="G26" i="8"/>
  <c r="G27" i="8"/>
  <c r="G30" i="8"/>
  <c r="G31" i="8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L12" i="6"/>
  <c r="M12" i="6"/>
  <c r="N12" i="6"/>
  <c r="O12" i="6"/>
  <c r="P12" i="6"/>
  <c r="Q12" i="6"/>
  <c r="R12" i="6"/>
  <c r="S12" i="6"/>
  <c r="T12" i="6"/>
  <c r="U12" i="6"/>
  <c r="L14" i="6"/>
  <c r="M14" i="6"/>
  <c r="N14" i="6"/>
  <c r="O14" i="6"/>
  <c r="P14" i="6"/>
  <c r="Q14" i="6"/>
  <c r="R14" i="6"/>
  <c r="S14" i="6"/>
  <c r="T14" i="6"/>
  <c r="U14" i="6"/>
  <c r="C19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C30" i="6"/>
  <c r="C31" i="6"/>
  <c r="C32" i="6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C20" i="7"/>
  <c r="C21" i="7"/>
  <c r="C26" i="7"/>
  <c r="C27" i="7"/>
  <c r="C28" i="7"/>
  <c r="C29" i="7"/>
  <c r="C30" i="7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</calcChain>
</file>

<file path=xl/sharedStrings.xml><?xml version="1.0" encoding="utf-8"?>
<sst xmlns="http://schemas.openxmlformats.org/spreadsheetml/2006/main" count="270" uniqueCount="221">
  <si>
    <t>GEOTHERMAL POWER PROJECT — ASSUMPTIONS</t>
  </si>
  <si>
    <t>All hardcoded inputs are BLUE. Black = formula. Green = link from another sheet. Change any blue cell to run a new scenario.</t>
  </si>
  <si>
    <t>Units: US$ million unless stated. Tariff/OPEX in US$ per kWh / MWh as labelled.</t>
  </si>
  <si>
    <t>1.  DATES &amp; TIMELINE</t>
  </si>
  <si>
    <t>Construction Start Date</t>
  </si>
  <si>
    <t>Construction Period (years)</t>
  </si>
  <si>
    <t>Commercial Operation Date (COD)</t>
  </si>
  <si>
    <t>Operating Life (years)</t>
  </si>
  <si>
    <t>PPA Tenor (years)</t>
  </si>
  <si>
    <t>Operating Life End Date</t>
  </si>
  <si>
    <t>2.  PROJECT / TECHNICAL ASSUMPTIONS</t>
  </si>
  <si>
    <t>Installed Capacity (MW)</t>
  </si>
  <si>
    <t>Capacity Factor (%)</t>
  </si>
  <si>
    <t>Annual Generation (GWh)</t>
  </si>
  <si>
    <t>GWh p.a.</t>
  </si>
  <si>
    <t>3.  CAPEX ASSUMPTIONS</t>
  </si>
  <si>
    <t>CAPEX per MW (US$m/MW)</t>
  </si>
  <si>
    <t>Total CAPEX (US$m)</t>
  </si>
  <si>
    <t>Development Costs (US$m)</t>
  </si>
  <si>
    <t>Financing Fee (% of Debt)</t>
  </si>
  <si>
    <t>CAPEX Phasing (% of Total CAPEX by construction year)</t>
  </si>
  <si>
    <t>Construction Year 1</t>
  </si>
  <si>
    <t>Construction Year 2</t>
  </si>
  <si>
    <t>Construction Year 3</t>
  </si>
  <si>
    <t>Construction Year 4</t>
  </si>
  <si>
    <t>Construction Year 5</t>
  </si>
  <si>
    <t>Phasing Check (must = 100%)</t>
  </si>
  <si>
    <t>4.  VAT &amp; IMPORT DUTY</t>
  </si>
  <si>
    <t>VAT Rate (%)</t>
  </si>
  <si>
    <t>Import Duty Rate (%)</t>
  </si>
  <si>
    <t>% of CAPEX Subject to Import Duty</t>
  </si>
  <si>
    <t>5.  CORPORATE TAX</t>
  </si>
  <si>
    <t>Corporate Income Tax Rate (%)</t>
  </si>
  <si>
    <t>Tax Holiday Period (years from COD)</t>
  </si>
  <si>
    <t>Tax Allowance (% of CAPEX)</t>
  </si>
  <si>
    <t>Tax Allowance Period (years, straight-line)</t>
  </si>
  <si>
    <t>Tax Depreciation Life (years, SL)</t>
  </si>
  <si>
    <t>Accounting Depreciation Life (years, SL)</t>
  </si>
  <si>
    <t>Tax Loss Carryforward Limit (years)</t>
  </si>
  <si>
    <t>Tax Incentive Scenario</t>
  </si>
  <si>
    <t>Holiday + Allowance</t>
  </si>
  <si>
    <t>6.  TARIFF &amp; REVENUE</t>
  </si>
  <si>
    <t>Initial Tariff (US$/kWh)</t>
  </si>
  <si>
    <t>Tariff Escalation (% p.a.)</t>
  </si>
  <si>
    <t>Tariff Structure</t>
  </si>
  <si>
    <t>Escalated</t>
  </si>
  <si>
    <t>Escalation Start (Operating Year #)</t>
  </si>
  <si>
    <t>7.  OPERATING COSTS</t>
  </si>
  <si>
    <t>OPEX (US$/MWh)</t>
  </si>
  <si>
    <t>% of OPEX Subject to VAT</t>
  </si>
  <si>
    <t>OPEX Escalation (% p.a.)</t>
  </si>
  <si>
    <t>Maintenance CAPEX (% of Revenue)</t>
  </si>
  <si>
    <t>8.  FINANCING ASSUMPTIONS (Inputs — loan amount is an OUTPUT, see Debt tab)</t>
  </si>
  <si>
    <t>Required Minimum DSCR (x)</t>
  </si>
  <si>
    <t>Interest Rate (% p.a.)</t>
  </si>
  <si>
    <t>Debt Tenor (years)</t>
  </si>
  <si>
    <t>Cost of Equity / Equity Discount Rate (%)</t>
  </si>
  <si>
    <t>Project Discount Rate / WACC (%)</t>
  </si>
  <si>
    <t>9.  MODEL TIMELINE ENGINE  (drives every tab — do not edit; extend Construction Period / Operating Life inputs above instead)</t>
  </si>
  <si>
    <t>Model Year #</t>
  </si>
  <si>
    <t>Calendar Year</t>
  </si>
  <si>
    <t>Period Type</t>
  </si>
  <si>
    <t>Construction Year #</t>
  </si>
  <si>
    <t>Operating Year #</t>
  </si>
  <si>
    <t>Debt Year #</t>
  </si>
  <si>
    <t>Within PPA Tenor (1/0)</t>
  </si>
  <si>
    <t>Within Tax Holiday Window (raw, 1/0)</t>
  </si>
  <si>
    <t>Within Tax Allowance Window (raw, 1/0)</t>
  </si>
  <si>
    <t>CAPEX &amp; SOURCES AND USES OF FUNDS</t>
  </si>
  <si>
    <t>CAPEX phased over the construction period; VAT and import duty are real, non-recoverable cash costs added to total project cost.</t>
  </si>
  <si>
    <t>Period</t>
  </si>
  <si>
    <t>USES OF FUNDS (US$ million)</t>
  </si>
  <si>
    <t>CAPEX Phasing (%)</t>
  </si>
  <si>
    <t>CAPEX</t>
  </si>
  <si>
    <t>Import Duty</t>
  </si>
  <si>
    <t>VAT (on CAPEX + Duty)</t>
  </si>
  <si>
    <t>Development Costs</t>
  </si>
  <si>
    <t>Financing Fee (on Loan Amount)</t>
  </si>
  <si>
    <t>Total Uses of Funds</t>
  </si>
  <si>
    <t>SOURCES OF FUNDS (US$ million)  —  Debt % applied pro-rata to construction-period spend; Debt amount itself is sized on the Debt tab from operating CFADS</t>
  </si>
  <si>
    <t>Debt Drawdown</t>
  </si>
  <si>
    <t>Equity Contribution</t>
  </si>
  <si>
    <t>Total Sources of Funds</t>
  </si>
  <si>
    <t>Check: Sources − Uses (= 0)</t>
  </si>
  <si>
    <t>SUMMARY (US$ million)</t>
  </si>
  <si>
    <t>Total CAPEX</t>
  </si>
  <si>
    <t>Total Import Duty</t>
  </si>
  <si>
    <t>Total VAT</t>
  </si>
  <si>
    <t>Total Development Costs</t>
  </si>
  <si>
    <t>Total Financing Fee</t>
  </si>
  <si>
    <t>Total Project Cost (Total Uses)</t>
  </si>
  <si>
    <t>Maximum Debt Capacity (Loan Amount)</t>
  </si>
  <si>
    <t>Debt % of Total Funding</t>
  </si>
  <si>
    <t>Equity Requirement</t>
  </si>
  <si>
    <t>Equity % of Total Funding</t>
  </si>
  <si>
    <t>TARIFF, REVENUE &amp; OPERATING COSTS</t>
  </si>
  <si>
    <t>Revenue = Generation (GWh) x Tariff (US$/kWh), which is already in US$ million (1 GWh x US$1/kWh = US$1m). Gated to the PPA tenor.</t>
  </si>
  <si>
    <t>GENERATION &amp; REVENUE</t>
  </si>
  <si>
    <t>Generation (GWh)</t>
  </si>
  <si>
    <t>Tariff (US$/kWh)</t>
  </si>
  <si>
    <t>Revenue (US$m)</t>
  </si>
  <si>
    <t>OPERATING COSTS</t>
  </si>
  <si>
    <t>OPEX — Base (US$m)</t>
  </si>
  <si>
    <t>OPEX — VAT Cost, non-recoverable (US$m)</t>
  </si>
  <si>
    <t>Total Cash OPEX (US$m)</t>
  </si>
  <si>
    <t>EBITDA (US$m)</t>
  </si>
  <si>
    <t>CORPORATE TAX — HOLIDAY, ALLOWANCE, DEPRECIATION &amp; LOSS CARRYFORWARD</t>
  </si>
  <si>
    <t>Tax Incentive Scenario switch (Assumptions!B43) turns the holiday and/or allowance on or off so scenarios can be compared on this tab alone.</t>
  </si>
  <si>
    <t>TAX INCENTIVE FLAGS &amp; DEPRECIATION</t>
  </si>
  <si>
    <t>Tax Holiday Active (1/0)</t>
  </si>
  <si>
    <t>Tax Allowance Active (1/0)</t>
  </si>
  <si>
    <t>Tax Allowance Deduction (US$m)</t>
  </si>
  <si>
    <t>Tax Depreciation (US$m, SL)</t>
  </si>
  <si>
    <t>Accounting Depreciation (US$m, SL)</t>
  </si>
  <si>
    <t>LEVERED TAX CALCULATION  (drives CFADS &amp; Equity Cash Flow)</t>
  </si>
  <si>
    <t>EBITDA</t>
  </si>
  <si>
    <t>Interest Expense</t>
  </si>
  <si>
    <t>Taxable Income before Loss Carryforward</t>
  </si>
  <si>
    <t>Opening Tax Loss Carryforward</t>
  </si>
  <si>
    <t>0</t>
  </si>
  <si>
    <t>Loss Generated</t>
  </si>
  <si>
    <t>Loss Utilized</t>
  </si>
  <si>
    <t>Closing Tax Loss Carryforward</t>
  </si>
  <si>
    <t>Taxable Income after Loss Carryforward</t>
  </si>
  <si>
    <t>Tax Payable (before Holiday)</t>
  </si>
  <si>
    <t>Cash Tax — Levered</t>
  </si>
  <si>
    <t>MEMO: UNLEVERED TAX CALCULATION  (Project IRR only — assumes no debt financing)</t>
  </si>
  <si>
    <t>Taxable Income before TLCF (Unlevered)</t>
  </si>
  <si>
    <t>Opening TLCF (Unlevered)</t>
  </si>
  <si>
    <t>Loss Generated (Unlevered)</t>
  </si>
  <si>
    <t>Loss Utilized (Unlevered)</t>
  </si>
  <si>
    <t>Closing TLCF (Unlevered)</t>
  </si>
  <si>
    <t>Taxable Income after TLCF (Unlevered)</t>
  </si>
  <si>
    <t>Tax Payable before Holiday (Unlevered)</t>
  </si>
  <si>
    <t>Cash Tax — Unlevered</t>
  </si>
  <si>
    <t>PROJECT CASH FLOW — EBITDA TO CFADS BRIDGE</t>
  </si>
  <si>
    <t>CFADS = EBITDA less Cash Tax (levered) less Maintenance CAPEX. This is what debt sizing (Debt tab) is sculpted against.</t>
  </si>
  <si>
    <t>CONSTRUCTION PERIOD (US$ million)</t>
  </si>
  <si>
    <t>CAPEX Outflow (incl. VAT, Duty, Dev Costs; excl. financing fee)</t>
  </si>
  <si>
    <t>OPERATING PERIOD — LEVERED PROJECT CASH FLOW  (drives CFADS)</t>
  </si>
  <si>
    <t>Revenue</t>
  </si>
  <si>
    <t>Total Cash OPEX</t>
  </si>
  <si>
    <t>Accounting Depreciation</t>
  </si>
  <si>
    <t>EBIT (memo)</t>
  </si>
  <si>
    <t>Net Operating Cash Flow (memo)</t>
  </si>
  <si>
    <t>Maintenance CAPEX</t>
  </si>
  <si>
    <t>CFADS — Cash Flow Available for Debt Service</t>
  </si>
  <si>
    <t>MEMO: UNLEVERED CASH FLOW  (Project IRR — before financing)</t>
  </si>
  <si>
    <t>Unlevered Net Cash Flow</t>
  </si>
  <si>
    <t>Project Pre-Financing Cash Flow</t>
  </si>
  <si>
    <t>DEBT SIZING &amp; SCHEDULE — DSCR SCULPTING</t>
  </si>
  <si>
    <t>Required DSCR, Interest Rate and Debt Tenor are INPUTS. The Loan Amount is an OUTPUT: the PV, at the interest rate, of the sculpted debt service stream (CFADS / Required DSCR) over the debt tenor.</t>
  </si>
  <si>
    <t>DEBT SIZING  (CFADS ÷ Required DSCR ÷ Interest Rate ÷ Tenor → Maximum Loan Amount)</t>
  </si>
  <si>
    <t>CFADS</t>
  </si>
  <si>
    <t>Within Debt Tenor (1/0)</t>
  </si>
  <si>
    <t>Max Debt Service (Target) = CFADS ÷ Required DSCR</t>
  </si>
  <si>
    <t>Discount Factor @ Interest Rate</t>
  </si>
  <si>
    <t>PV of Max Debt Service</t>
  </si>
  <si>
    <t>Required DSCR (x)</t>
  </si>
  <si>
    <t>Interest Rate (%)</t>
  </si>
  <si>
    <t>Maximum Loan Amount (US$m)</t>
  </si>
  <si>
    <t>DEBT SCHEDULE</t>
  </si>
  <si>
    <t>Opening Balance</t>
  </si>
  <si>
    <t>Principal Repayment</t>
  </si>
  <si>
    <t>Actual Debt Service</t>
  </si>
  <si>
    <t>Closing Balance</t>
  </si>
  <si>
    <t>Actual DSCR</t>
  </si>
  <si>
    <t>CHECKS</t>
  </si>
  <si>
    <t>Ending Debt Balance (should be ~0 at final debt year)</t>
  </si>
  <si>
    <t>Minimum Actual DSCR</t>
  </si>
  <si>
    <t>Average Actual DSCR</t>
  </si>
  <si>
    <t>EQUITY CASH FLOW &amp; RETURNS</t>
  </si>
  <si>
    <t>Equity funds construction as the residual after debt (Sources &amp; Uses); operating distributions are CFADS remaining after actual debt service.</t>
  </si>
  <si>
    <t>EQUITY CASH FLOW (US$ million)</t>
  </si>
  <si>
    <t>Equity Contribution (Construction)</t>
  </si>
  <si>
    <t>CFADS (memo)</t>
  </si>
  <si>
    <t>Debt Service — Actual (memo)</t>
  </si>
  <si>
    <t>Distribution to Equity</t>
  </si>
  <si>
    <t>Equity Cash Flow</t>
  </si>
  <si>
    <t>Cumulative Equity Cash Flow</t>
  </si>
  <si>
    <t>MEMO: PROJECT PRE-FINANCING CASH FLOW  (for Project IRR)</t>
  </si>
  <si>
    <t>RETURNS SUMMARY</t>
  </si>
  <si>
    <t>Equity IRR</t>
  </si>
  <si>
    <t>Equity NPV (US$m) @ Cost of Equity</t>
  </si>
  <si>
    <t>Project IRR</t>
  </si>
  <si>
    <t>Project NPV (US$m) @ WACC</t>
  </si>
  <si>
    <t>FINANCING SUMMARY (for reference)</t>
  </si>
  <si>
    <t>Maximum Debt Capacity (US$m)</t>
  </si>
  <si>
    <t>Equity Requirement (US$m)</t>
  </si>
  <si>
    <t>Debt % of Funding</t>
  </si>
  <si>
    <t>GEOTHERMAL POWER PROJECT — DASHBOARD</t>
  </si>
  <si>
    <t>Live summary of key assumptions and outputs. Change inputs on the Assumptions tab to run a new scenario.</t>
  </si>
  <si>
    <t>EQUITY IRR  (key output)</t>
  </si>
  <si>
    <t>PROJECT IRR</t>
  </si>
  <si>
    <t>MAX. DEBT CAPACITY (US$m)</t>
  </si>
  <si>
    <t>EQUITY REQUIREMENT (US$m)</t>
  </si>
  <si>
    <t>DEBT % OF FUNDING</t>
  </si>
  <si>
    <t>PROJECT</t>
  </si>
  <si>
    <t>COMMERCIAL</t>
  </si>
  <si>
    <t>Starting Tariff (US$/kWh)</t>
  </si>
  <si>
    <t>Capacity Factor</t>
  </si>
  <si>
    <t>COD</t>
  </si>
  <si>
    <t>Year 1 Revenue (US$m)</t>
  </si>
  <si>
    <t>Year 1 EBITDA (US$m)</t>
  </si>
  <si>
    <t>FINANCING</t>
  </si>
  <si>
    <t>VAT (US$m)</t>
  </si>
  <si>
    <t>Import Duty (US$m)</t>
  </si>
  <si>
    <t>Financing Fee (US$m)</t>
  </si>
  <si>
    <t>Debt / Total Funding (%)</t>
  </si>
  <si>
    <t>Total Project Cost (US$m)</t>
  </si>
  <si>
    <t>Min / Avg Actual DSCR</t>
  </si>
  <si>
    <t>RETURNS  (key outputs)</t>
  </si>
  <si>
    <t>Project NPV (US$m)</t>
  </si>
  <si>
    <t>Equity NPV (US$m)</t>
  </si>
  <si>
    <t>HOW THIS MODEL WORKS</t>
  </si>
  <si>
    <t>•  Model flow: Assumptions -&gt; Revenue/OPEX -&gt; EBITDA -&gt; Tax -&gt; Project Cash Flow / CFADS -&gt; Debt Sizing -&gt; Debt Schedule -&gt; Equity Cash Flow -&gt; Equity IRR.</t>
  </si>
  <si>
    <t>•  All inputs live on the Assumptions tab (blue). The Loan Amount (Debt tab) is an OUTPUT: CFADS / Required DSCR, sized as the PV of that sculpted debt service at the interest rate over the debt tenor.</t>
  </si>
  <si>
    <t>•  Equity Requirement = Total Project Cost - Maximum Debt Capacity (CAPEX_SU tab). Equity IRR is computed from actual equity contributions and distributions (Equity tab).</t>
  </si>
  <si>
    <t>•  Tax Incentive Scenario (Assumptions!B43) switches between None / Tax Holiday Only / Tax Allowance Only / Holiday + Allowance so incentive combinations can be compared directly.</t>
  </si>
  <si>
    <t>•  The CFADS &lt;-&gt; interest &lt;-&gt; debt sizing loop is circular by construction (standard for DSCR-sculpted project finance debt); this workbook has iterative calculation enabled — if Excel prompts about circular references, enable iterative calculation in File &gt; Options &gt; Formulas.</t>
  </si>
  <si>
    <t>•  See the Sensitivity tab for pre-computed Equity IRR / Debt Capacity grids across CAPEX, tariff, interest rate, DSCR, tenor and tax incentives.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</si>
</sst>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#,##0.0"/>
    <numFmt numFmtId="166" formatCode="0.0%;\(0.0%\);\-"/>
    <numFmt numFmtId="167" formatCode="#,##0.0;\(#,##0.0\);\-"/>
    <numFmt numFmtId="168" formatCode="0.00%;\(0.00%\);\-"/>
    <numFmt numFmtId="169" formatCode="\$0.0000"/>
    <numFmt numFmtId="170" formatCode="0.00\x;\(0.00&quot;x)&quot;;\-"/>
    <numFmt numFmtId="171" formatCode="0.0000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22"/>
      <color rgb="FF1F4E78"/>
      <name val="Arial"/>
      <family val="2"/>
    </font>
    <font>
      <b/>
      <sz val="14"/>
      <color rgb="FF1F4E78"/>
      <name val="Arial"/>
      <family val="2"/>
    </font>
    <font>
      <b/>
      <sz val="10"/>
      <color rgb="FF595959"/>
      <name val="Arial"/>
      <family val="2"/>
    </font>
    <font>
      <sz val="9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A87"/>
        <bgColor rgb="FF1F4E78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EDF2FA"/>
      </patternFill>
    </fill>
    <fill>
      <patternFill patternType="solid">
        <fgColor rgb="FFEDF2F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indent="1"/>
    </xf>
    <xf numFmtId="164" fontId="5" fillId="3" borderId="1" xfId="0" applyNumberFormat="1" applyFont="1" applyFill="1" applyBorder="1"/>
    <xf numFmtId="1" fontId="5" fillId="3" borderId="1" xfId="0" applyNumberFormat="1" applyFont="1" applyFill="1" applyBorder="1"/>
    <xf numFmtId="0" fontId="6" fillId="0" borderId="0" xfId="0" applyFont="1" applyAlignment="1">
      <alignment horizontal="left" indent="1"/>
    </xf>
    <xf numFmtId="164" fontId="6" fillId="0" borderId="0" xfId="0" applyNumberFormat="1" applyFont="1"/>
    <xf numFmtId="164" fontId="4" fillId="0" borderId="0" xfId="0" applyNumberFormat="1" applyFont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5" fontId="6" fillId="0" borderId="0" xfId="0" applyNumberFormat="1" applyFont="1"/>
    <xf numFmtId="167" fontId="6" fillId="0" borderId="0" xfId="0" applyNumberFormat="1" applyFont="1"/>
    <xf numFmtId="167" fontId="5" fillId="3" borderId="1" xfId="0" applyNumberFormat="1" applyFont="1" applyFill="1" applyBorder="1"/>
    <xf numFmtId="168" fontId="5" fillId="3" borderId="1" xfId="0" applyNumberFormat="1" applyFont="1" applyFill="1" applyBorder="1"/>
    <xf numFmtId="0" fontId="4" fillId="0" borderId="0" xfId="0" applyFont="1" applyAlignment="1">
      <alignment horizontal="left" indent="2"/>
    </xf>
    <xf numFmtId="166" fontId="6" fillId="0" borderId="0" xfId="0" applyNumberFormat="1" applyFont="1"/>
    <xf numFmtId="0" fontId="5" fillId="3" borderId="1" xfId="0" applyFont="1" applyFill="1" applyBorder="1"/>
    <xf numFmtId="169" fontId="5" fillId="3" borderId="1" xfId="0" applyNumberFormat="1" applyFont="1" applyFill="1" applyBorder="1"/>
    <xf numFmtId="170" fontId="5" fillId="3" borderId="1" xfId="0" applyNumberFormat="1" applyFont="1" applyFill="1" applyBorder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1" fontId="7" fillId="4" borderId="0" xfId="0" applyNumberFormat="1" applyFont="1" applyFill="1" applyAlignment="1">
      <alignment horizontal="center"/>
    </xf>
    <xf numFmtId="0" fontId="7" fillId="4" borderId="0" xfId="0" applyFont="1" applyFill="1"/>
    <xf numFmtId="1" fontId="7" fillId="4" borderId="0" xfId="0" applyNumberFormat="1" applyFont="1" applyFill="1"/>
    <xf numFmtId="166" fontId="4" fillId="0" borderId="0" xfId="0" applyNumberFormat="1" applyFont="1"/>
    <xf numFmtId="167" fontId="4" fillId="0" borderId="0" xfId="0" applyNumberFormat="1" applyFont="1"/>
    <xf numFmtId="167" fontId="7" fillId="0" borderId="0" xfId="0" applyNumberFormat="1" applyFont="1"/>
    <xf numFmtId="165" fontId="4" fillId="0" borderId="0" xfId="0" applyNumberFormat="1" applyFont="1"/>
    <xf numFmtId="1" fontId="7" fillId="0" borderId="0" xfId="0" applyNumberFormat="1" applyFont="1"/>
    <xf numFmtId="169" fontId="4" fillId="0" borderId="0" xfId="0" applyNumberFormat="1" applyFont="1"/>
    <xf numFmtId="1" fontId="4" fillId="0" borderId="0" xfId="0" applyNumberFormat="1" applyFont="1"/>
    <xf numFmtId="167" fontId="8" fillId="0" borderId="0" xfId="0" applyNumberFormat="1" applyFont="1"/>
    <xf numFmtId="171" fontId="4" fillId="0" borderId="0" xfId="0" applyNumberFormat="1" applyFont="1"/>
    <xf numFmtId="170" fontId="7" fillId="0" borderId="0" xfId="0" applyNumberFormat="1" applyFont="1"/>
    <xf numFmtId="166" fontId="7" fillId="0" borderId="0" xfId="0" applyNumberFormat="1" applyFont="1"/>
    <xf numFmtId="167" fontId="6" fillId="5" borderId="0" xfId="0" applyNumberFormat="1" applyFont="1" applyFill="1"/>
    <xf numFmtId="170" fontId="6" fillId="0" borderId="0" xfId="0" applyNumberFormat="1" applyFont="1"/>
    <xf numFmtId="170" fontId="4" fillId="0" borderId="0" xfId="0" applyNumberFormat="1" applyFont="1"/>
    <xf numFmtId="168" fontId="6" fillId="5" borderId="0" xfId="0" applyNumberFormat="1" applyFont="1" applyFill="1"/>
    <xf numFmtId="168" fontId="6" fillId="0" borderId="0" xfId="0" applyNumberFormat="1" applyFont="1"/>
    <xf numFmtId="165" fontId="7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top" wrapText="1"/>
    </xf>
    <xf numFmtId="0" fontId="11" fillId="5" borderId="1" xfId="0" applyFont="1" applyFill="1" applyBorder="1" applyAlignment="1">
      <alignment horizontal="center"/>
    </xf>
    <xf numFmtId="168" fontId="9" fillId="5" borderId="1" xfId="0" applyNumberFormat="1" applyFont="1" applyFill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DF2FA"/>
      <rgbColor rgb="FF660066"/>
      <rgbColor rgb="FFFF8080"/>
      <rgbColor rgb="FF2E5A87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Q73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34" customWidth="1"/>
    <col min="2" max="2" width="16" customWidth="1"/>
    <col min="3" max="3" width="12" customWidth="1"/>
    <col min="4" max="43" width="10.5546875" customWidth="1"/>
  </cols>
  <sheetData>
    <row r="1" spans="1:3" ht="19.5" customHeight="1" x14ac:dyDescent="0.4">
      <c r="A1" s="1" t="s">
        <v>0</v>
      </c>
    </row>
    <row r="2" spans="1:3" ht="15" customHeight="1" x14ac:dyDescent="0.3">
      <c r="A2" s="2" t="s">
        <v>1</v>
      </c>
    </row>
    <row r="3" spans="1:3" ht="15" customHeight="1" x14ac:dyDescent="0.3">
      <c r="A3" s="2" t="s">
        <v>2</v>
      </c>
    </row>
    <row r="4" spans="1:3" ht="18" customHeight="1" x14ac:dyDescent="0.3">
      <c r="A4" s="51" t="s">
        <v>3</v>
      </c>
      <c r="B4" s="51"/>
      <c r="C4" s="51"/>
    </row>
    <row r="5" spans="1:3" ht="15" customHeight="1" x14ac:dyDescent="0.3">
      <c r="A5" s="3" t="s">
        <v>4</v>
      </c>
      <c r="B5" s="4">
        <v>46388</v>
      </c>
    </row>
    <row r="6" spans="1:3" ht="15" customHeight="1" x14ac:dyDescent="0.3">
      <c r="A6" s="3" t="s">
        <v>5</v>
      </c>
      <c r="B6" s="5">
        <v>3</v>
      </c>
    </row>
    <row r="7" spans="1:3" ht="15" customHeight="1" x14ac:dyDescent="0.3">
      <c r="A7" s="6" t="s">
        <v>6</v>
      </c>
      <c r="B7" s="7">
        <f>EDATE(B5,B6*12)</f>
        <v>47484</v>
      </c>
    </row>
    <row r="8" spans="1:3" ht="15" customHeight="1" x14ac:dyDescent="0.3">
      <c r="A8" s="3" t="s">
        <v>7</v>
      </c>
      <c r="B8" s="5">
        <v>30</v>
      </c>
    </row>
    <row r="9" spans="1:3" ht="15" customHeight="1" x14ac:dyDescent="0.3">
      <c r="A9" s="3" t="s">
        <v>8</v>
      </c>
      <c r="B9" s="5">
        <v>30</v>
      </c>
    </row>
    <row r="10" spans="1:3" ht="15" customHeight="1" x14ac:dyDescent="0.3">
      <c r="A10" s="3" t="s">
        <v>9</v>
      </c>
      <c r="B10" s="8">
        <f>EDATE(B7,B8*12)</f>
        <v>58441</v>
      </c>
    </row>
    <row r="12" spans="1:3" ht="18" customHeight="1" x14ac:dyDescent="0.3">
      <c r="A12" s="51" t="s">
        <v>10</v>
      </c>
      <c r="B12" s="51"/>
      <c r="C12" s="51"/>
    </row>
    <row r="13" spans="1:3" ht="15" customHeight="1" x14ac:dyDescent="0.3">
      <c r="A13" s="3" t="s">
        <v>11</v>
      </c>
      <c r="B13" s="9">
        <v>55</v>
      </c>
    </row>
    <row r="14" spans="1:3" ht="15" customHeight="1" x14ac:dyDescent="0.3">
      <c r="A14" s="3" t="s">
        <v>12</v>
      </c>
      <c r="B14" s="10">
        <v>0.9</v>
      </c>
    </row>
    <row r="15" spans="1:3" ht="15" customHeight="1" x14ac:dyDescent="0.3">
      <c r="A15" s="6" t="s">
        <v>13</v>
      </c>
      <c r="B15" s="11">
        <f>B13*B14*8760/1000</f>
        <v>433.62</v>
      </c>
      <c r="C15" s="2" t="s">
        <v>14</v>
      </c>
    </row>
    <row r="17" spans="1:3" ht="18" customHeight="1" x14ac:dyDescent="0.3">
      <c r="A17" s="51" t="s">
        <v>15</v>
      </c>
      <c r="B17" s="51"/>
      <c r="C17" s="51"/>
    </row>
    <row r="18" spans="1:3" ht="15" customHeight="1" x14ac:dyDescent="0.3">
      <c r="A18" s="3" t="s">
        <v>16</v>
      </c>
      <c r="B18" s="9">
        <v>4.5</v>
      </c>
    </row>
    <row r="19" spans="1:3" ht="15" customHeight="1" x14ac:dyDescent="0.3">
      <c r="A19" s="6" t="s">
        <v>17</v>
      </c>
      <c r="B19" s="12">
        <f>B13*B18</f>
        <v>247.5</v>
      </c>
    </row>
    <row r="20" spans="1:3" ht="15" customHeight="1" x14ac:dyDescent="0.3">
      <c r="A20" s="3" t="s">
        <v>18</v>
      </c>
      <c r="B20" s="13">
        <v>8</v>
      </c>
    </row>
    <row r="21" spans="1:3" ht="15" customHeight="1" x14ac:dyDescent="0.3">
      <c r="A21" s="3" t="s">
        <v>19</v>
      </c>
      <c r="B21" s="14">
        <v>1.4999999999999999E-2</v>
      </c>
    </row>
    <row r="22" spans="1:3" ht="15" customHeight="1" x14ac:dyDescent="0.3">
      <c r="A22" s="6" t="s">
        <v>20</v>
      </c>
    </row>
    <row r="23" spans="1:3" ht="15" customHeight="1" x14ac:dyDescent="0.3">
      <c r="A23" s="15" t="s">
        <v>21</v>
      </c>
      <c r="B23" s="10">
        <v>0.3</v>
      </c>
    </row>
    <row r="24" spans="1:3" ht="15" customHeight="1" x14ac:dyDescent="0.3">
      <c r="A24" s="15" t="s">
        <v>22</v>
      </c>
      <c r="B24" s="10">
        <v>0.45</v>
      </c>
    </row>
    <row r="25" spans="1:3" ht="15" customHeight="1" x14ac:dyDescent="0.3">
      <c r="A25" s="15" t="s">
        <v>23</v>
      </c>
      <c r="B25" s="10">
        <v>0.25</v>
      </c>
    </row>
    <row r="26" spans="1:3" ht="15" customHeight="1" x14ac:dyDescent="0.3">
      <c r="A26" s="15" t="s">
        <v>24</v>
      </c>
      <c r="B26" s="10">
        <v>0</v>
      </c>
    </row>
    <row r="27" spans="1:3" ht="15" customHeight="1" x14ac:dyDescent="0.3">
      <c r="A27" s="15" t="s">
        <v>25</v>
      </c>
      <c r="B27" s="10">
        <v>0</v>
      </c>
    </row>
    <row r="28" spans="1:3" ht="15" customHeight="1" x14ac:dyDescent="0.3">
      <c r="A28" s="6" t="s">
        <v>26</v>
      </c>
      <c r="B28" s="16">
        <f>SUM(B23:B27)</f>
        <v>1</v>
      </c>
    </row>
    <row r="30" spans="1:3" ht="18" customHeight="1" x14ac:dyDescent="0.3">
      <c r="A30" s="51" t="s">
        <v>27</v>
      </c>
      <c r="B30" s="51"/>
      <c r="C30" s="51"/>
    </row>
    <row r="31" spans="1:3" ht="15" customHeight="1" x14ac:dyDescent="0.3">
      <c r="A31" s="3" t="s">
        <v>28</v>
      </c>
      <c r="B31" s="10">
        <v>0.11</v>
      </c>
    </row>
    <row r="32" spans="1:3" ht="15" customHeight="1" x14ac:dyDescent="0.3">
      <c r="A32" s="3" t="s">
        <v>29</v>
      </c>
      <c r="B32" s="10">
        <v>0.05</v>
      </c>
    </row>
    <row r="33" spans="1:3" ht="15" customHeight="1" x14ac:dyDescent="0.3">
      <c r="A33" s="3" t="s">
        <v>30</v>
      </c>
      <c r="B33" s="10">
        <v>0.6</v>
      </c>
    </row>
    <row r="35" spans="1:3" ht="18" customHeight="1" x14ac:dyDescent="0.3">
      <c r="A35" s="51" t="s">
        <v>31</v>
      </c>
      <c r="B35" s="51"/>
      <c r="C35" s="51"/>
    </row>
    <row r="36" spans="1:3" ht="15" customHeight="1" x14ac:dyDescent="0.3">
      <c r="A36" s="3" t="s">
        <v>32</v>
      </c>
      <c r="B36" s="10">
        <v>0.22</v>
      </c>
    </row>
    <row r="37" spans="1:3" ht="15" customHeight="1" x14ac:dyDescent="0.3">
      <c r="A37" s="3" t="s">
        <v>33</v>
      </c>
      <c r="B37" s="5">
        <v>5</v>
      </c>
    </row>
    <row r="38" spans="1:3" ht="15" customHeight="1" x14ac:dyDescent="0.3">
      <c r="A38" s="3" t="s">
        <v>34</v>
      </c>
      <c r="B38" s="10">
        <v>0.3</v>
      </c>
    </row>
    <row r="39" spans="1:3" ht="15" customHeight="1" x14ac:dyDescent="0.3">
      <c r="A39" s="3" t="s">
        <v>35</v>
      </c>
      <c r="B39" s="5">
        <v>6</v>
      </c>
    </row>
    <row r="40" spans="1:3" ht="15" customHeight="1" x14ac:dyDescent="0.3">
      <c r="A40" s="3" t="s">
        <v>36</v>
      </c>
      <c r="B40" s="5">
        <v>20</v>
      </c>
    </row>
    <row r="41" spans="1:3" ht="15" customHeight="1" x14ac:dyDescent="0.3">
      <c r="A41" s="3" t="s">
        <v>37</v>
      </c>
      <c r="B41" s="5">
        <v>30</v>
      </c>
    </row>
    <row r="42" spans="1:3" ht="15" customHeight="1" x14ac:dyDescent="0.3">
      <c r="A42" s="3" t="s">
        <v>38</v>
      </c>
      <c r="B42" s="5">
        <v>99</v>
      </c>
    </row>
    <row r="43" spans="1:3" ht="15" customHeight="1" x14ac:dyDescent="0.3">
      <c r="A43" s="6" t="s">
        <v>39</v>
      </c>
      <c r="B43" s="17" t="s">
        <v>40</v>
      </c>
    </row>
    <row r="45" spans="1:3" ht="18" customHeight="1" x14ac:dyDescent="0.3">
      <c r="A45" s="51" t="s">
        <v>41</v>
      </c>
      <c r="B45" s="51"/>
      <c r="C45" s="51"/>
    </row>
    <row r="46" spans="1:3" ht="15" customHeight="1" x14ac:dyDescent="0.3">
      <c r="A46" s="3" t="s">
        <v>42</v>
      </c>
      <c r="B46" s="18">
        <v>0.06</v>
      </c>
    </row>
    <row r="47" spans="1:3" ht="15" customHeight="1" x14ac:dyDescent="0.3">
      <c r="A47" s="3" t="s">
        <v>43</v>
      </c>
      <c r="B47" s="10">
        <v>0.02</v>
      </c>
    </row>
    <row r="48" spans="1:3" ht="15" customHeight="1" x14ac:dyDescent="0.3">
      <c r="A48" s="6" t="s">
        <v>44</v>
      </c>
      <c r="B48" s="17" t="s">
        <v>45</v>
      </c>
    </row>
    <row r="49" spans="1:43" ht="15" customHeight="1" x14ac:dyDescent="0.3">
      <c r="A49" s="3" t="s">
        <v>46</v>
      </c>
      <c r="B49" s="5">
        <v>1</v>
      </c>
    </row>
    <row r="51" spans="1:43" ht="18" customHeight="1" x14ac:dyDescent="0.3">
      <c r="A51" s="51" t="s">
        <v>47</v>
      </c>
      <c r="B51" s="51"/>
      <c r="C51" s="51"/>
    </row>
    <row r="52" spans="1:43" ht="15" customHeight="1" x14ac:dyDescent="0.3">
      <c r="A52" s="3" t="s">
        <v>48</v>
      </c>
      <c r="B52" s="9">
        <v>15</v>
      </c>
    </row>
    <row r="53" spans="1:43" ht="15" customHeight="1" x14ac:dyDescent="0.3">
      <c r="A53" s="3" t="s">
        <v>49</v>
      </c>
      <c r="B53" s="10">
        <v>0.7</v>
      </c>
    </row>
    <row r="54" spans="1:43" ht="15" customHeight="1" x14ac:dyDescent="0.3">
      <c r="A54" s="3" t="s">
        <v>50</v>
      </c>
      <c r="B54" s="10">
        <v>0.02</v>
      </c>
    </row>
    <row r="55" spans="1:43" ht="15" customHeight="1" x14ac:dyDescent="0.3">
      <c r="A55" s="3" t="s">
        <v>51</v>
      </c>
      <c r="B55" s="10">
        <v>1.4999999999999999E-2</v>
      </c>
    </row>
    <row r="57" spans="1:43" ht="18" customHeight="1" x14ac:dyDescent="0.3">
      <c r="A57" s="51" t="s">
        <v>52</v>
      </c>
      <c r="B57" s="51"/>
      <c r="C57" s="51"/>
    </row>
    <row r="58" spans="1:43" ht="15" customHeight="1" x14ac:dyDescent="0.3">
      <c r="A58" s="3" t="s">
        <v>53</v>
      </c>
      <c r="B58" s="19">
        <v>1.3</v>
      </c>
    </row>
    <row r="59" spans="1:43" ht="15" customHeight="1" x14ac:dyDescent="0.3">
      <c r="A59" s="3" t="s">
        <v>54</v>
      </c>
      <c r="B59" s="10">
        <v>6.5000000000000002E-2</v>
      </c>
    </row>
    <row r="60" spans="1:43" ht="15" customHeight="1" x14ac:dyDescent="0.3">
      <c r="A60" s="3" t="s">
        <v>55</v>
      </c>
      <c r="B60" s="5">
        <v>15</v>
      </c>
    </row>
    <row r="61" spans="1:43" ht="15" customHeight="1" x14ac:dyDescent="0.3">
      <c r="A61" s="3" t="s">
        <v>56</v>
      </c>
      <c r="B61" s="10">
        <v>0.14000000000000001</v>
      </c>
    </row>
    <row r="62" spans="1:43" ht="15" customHeight="1" x14ac:dyDescent="0.3">
      <c r="A62" s="3" t="s">
        <v>57</v>
      </c>
      <c r="B62" s="10">
        <v>0.1</v>
      </c>
    </row>
    <row r="64" spans="1:43" ht="18" customHeight="1" x14ac:dyDescent="0.3">
      <c r="A64" s="51" t="s">
        <v>58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</row>
    <row r="65" spans="1:43" ht="15" customHeight="1" x14ac:dyDescent="0.3">
      <c r="A65" s="6" t="s">
        <v>59</v>
      </c>
      <c r="D65" s="20">
        <v>1</v>
      </c>
      <c r="E65" s="20">
        <f t="shared" ref="E65:AQ65" si="0">D65+1</f>
        <v>2</v>
      </c>
      <c r="F65" s="20">
        <f t="shared" si="0"/>
        <v>3</v>
      </c>
      <c r="G65" s="20">
        <f t="shared" si="0"/>
        <v>4</v>
      </c>
      <c r="H65" s="20">
        <f t="shared" si="0"/>
        <v>5</v>
      </c>
      <c r="I65" s="20">
        <f t="shared" si="0"/>
        <v>6</v>
      </c>
      <c r="J65" s="20">
        <f t="shared" si="0"/>
        <v>7</v>
      </c>
      <c r="K65" s="20">
        <f t="shared" si="0"/>
        <v>8</v>
      </c>
      <c r="L65" s="20">
        <f t="shared" si="0"/>
        <v>9</v>
      </c>
      <c r="M65" s="20">
        <f t="shared" si="0"/>
        <v>10</v>
      </c>
      <c r="N65" s="20">
        <f t="shared" si="0"/>
        <v>11</v>
      </c>
      <c r="O65" s="20">
        <f t="shared" si="0"/>
        <v>12</v>
      </c>
      <c r="P65" s="20">
        <f t="shared" si="0"/>
        <v>13</v>
      </c>
      <c r="Q65" s="20">
        <f t="shared" si="0"/>
        <v>14</v>
      </c>
      <c r="R65" s="20">
        <f t="shared" si="0"/>
        <v>15</v>
      </c>
      <c r="S65" s="20">
        <f t="shared" si="0"/>
        <v>16</v>
      </c>
      <c r="T65" s="20">
        <f t="shared" si="0"/>
        <v>17</v>
      </c>
      <c r="U65" s="20">
        <f t="shared" si="0"/>
        <v>18</v>
      </c>
      <c r="V65" s="20">
        <f t="shared" si="0"/>
        <v>19</v>
      </c>
      <c r="W65" s="20">
        <f t="shared" si="0"/>
        <v>20</v>
      </c>
      <c r="X65" s="20">
        <f t="shared" si="0"/>
        <v>21</v>
      </c>
      <c r="Y65" s="20">
        <f t="shared" si="0"/>
        <v>22</v>
      </c>
      <c r="Z65" s="20">
        <f t="shared" si="0"/>
        <v>23</v>
      </c>
      <c r="AA65" s="20">
        <f t="shared" si="0"/>
        <v>24</v>
      </c>
      <c r="AB65" s="20">
        <f t="shared" si="0"/>
        <v>25</v>
      </c>
      <c r="AC65" s="20">
        <f t="shared" si="0"/>
        <v>26</v>
      </c>
      <c r="AD65" s="20">
        <f t="shared" si="0"/>
        <v>27</v>
      </c>
      <c r="AE65" s="20">
        <f t="shared" si="0"/>
        <v>28</v>
      </c>
      <c r="AF65" s="20">
        <f t="shared" si="0"/>
        <v>29</v>
      </c>
      <c r="AG65" s="20">
        <f t="shared" si="0"/>
        <v>30</v>
      </c>
      <c r="AH65" s="20">
        <f t="shared" si="0"/>
        <v>31</v>
      </c>
      <c r="AI65" s="20">
        <f t="shared" si="0"/>
        <v>32</v>
      </c>
      <c r="AJ65" s="20">
        <f t="shared" si="0"/>
        <v>33</v>
      </c>
      <c r="AK65" s="20">
        <f t="shared" si="0"/>
        <v>34</v>
      </c>
      <c r="AL65" s="20">
        <f t="shared" si="0"/>
        <v>35</v>
      </c>
      <c r="AM65" s="20">
        <f t="shared" si="0"/>
        <v>36</v>
      </c>
      <c r="AN65" s="20">
        <f t="shared" si="0"/>
        <v>37</v>
      </c>
      <c r="AO65" s="20">
        <f t="shared" si="0"/>
        <v>38</v>
      </c>
      <c r="AP65" s="20">
        <f t="shared" si="0"/>
        <v>39</v>
      </c>
      <c r="AQ65" s="20">
        <f t="shared" si="0"/>
        <v>40</v>
      </c>
    </row>
    <row r="66" spans="1:43" ht="15" customHeight="1" x14ac:dyDescent="0.3">
      <c r="A66" s="6" t="s">
        <v>60</v>
      </c>
      <c r="D66" s="20">
        <f t="shared" ref="D66:AQ66" si="1">YEAR($B$5)+D65-1</f>
        <v>2027</v>
      </c>
      <c r="E66" s="20">
        <f t="shared" si="1"/>
        <v>2028</v>
      </c>
      <c r="F66" s="20">
        <f t="shared" si="1"/>
        <v>2029</v>
      </c>
      <c r="G66" s="20">
        <f t="shared" si="1"/>
        <v>2030</v>
      </c>
      <c r="H66" s="20">
        <f t="shared" si="1"/>
        <v>2031</v>
      </c>
      <c r="I66" s="20">
        <f t="shared" si="1"/>
        <v>2032</v>
      </c>
      <c r="J66" s="20">
        <f t="shared" si="1"/>
        <v>2033</v>
      </c>
      <c r="K66" s="20">
        <f t="shared" si="1"/>
        <v>2034</v>
      </c>
      <c r="L66" s="20">
        <f t="shared" si="1"/>
        <v>2035</v>
      </c>
      <c r="M66" s="20">
        <f t="shared" si="1"/>
        <v>2036</v>
      </c>
      <c r="N66" s="20">
        <f t="shared" si="1"/>
        <v>2037</v>
      </c>
      <c r="O66" s="20">
        <f t="shared" si="1"/>
        <v>2038</v>
      </c>
      <c r="P66" s="20">
        <f t="shared" si="1"/>
        <v>2039</v>
      </c>
      <c r="Q66" s="20">
        <f t="shared" si="1"/>
        <v>2040</v>
      </c>
      <c r="R66" s="20">
        <f t="shared" si="1"/>
        <v>2041</v>
      </c>
      <c r="S66" s="20">
        <f t="shared" si="1"/>
        <v>2042</v>
      </c>
      <c r="T66" s="20">
        <f t="shared" si="1"/>
        <v>2043</v>
      </c>
      <c r="U66" s="20">
        <f t="shared" si="1"/>
        <v>2044</v>
      </c>
      <c r="V66" s="20">
        <f t="shared" si="1"/>
        <v>2045</v>
      </c>
      <c r="W66" s="20">
        <f t="shared" si="1"/>
        <v>2046</v>
      </c>
      <c r="X66" s="20">
        <f t="shared" si="1"/>
        <v>2047</v>
      </c>
      <c r="Y66" s="20">
        <f t="shared" si="1"/>
        <v>2048</v>
      </c>
      <c r="Z66" s="20">
        <f t="shared" si="1"/>
        <v>2049</v>
      </c>
      <c r="AA66" s="20">
        <f t="shared" si="1"/>
        <v>2050</v>
      </c>
      <c r="AB66" s="20">
        <f t="shared" si="1"/>
        <v>2051</v>
      </c>
      <c r="AC66" s="20">
        <f t="shared" si="1"/>
        <v>2052</v>
      </c>
      <c r="AD66" s="20">
        <f t="shared" si="1"/>
        <v>2053</v>
      </c>
      <c r="AE66" s="20">
        <f t="shared" si="1"/>
        <v>2054</v>
      </c>
      <c r="AF66" s="20">
        <f t="shared" si="1"/>
        <v>2055</v>
      </c>
      <c r="AG66" s="20">
        <f t="shared" si="1"/>
        <v>2056</v>
      </c>
      <c r="AH66" s="20">
        <f t="shared" si="1"/>
        <v>2057</v>
      </c>
      <c r="AI66" s="20">
        <f t="shared" si="1"/>
        <v>2058</v>
      </c>
      <c r="AJ66" s="20">
        <f t="shared" si="1"/>
        <v>2059</v>
      </c>
      <c r="AK66" s="20">
        <f t="shared" si="1"/>
        <v>2060</v>
      </c>
      <c r="AL66" s="20">
        <f t="shared" si="1"/>
        <v>2061</v>
      </c>
      <c r="AM66" s="20">
        <f t="shared" si="1"/>
        <v>2062</v>
      </c>
      <c r="AN66" s="20">
        <f t="shared" si="1"/>
        <v>2063</v>
      </c>
      <c r="AO66" s="20">
        <f t="shared" si="1"/>
        <v>2064</v>
      </c>
      <c r="AP66" s="20">
        <f t="shared" si="1"/>
        <v>2065</v>
      </c>
      <c r="AQ66" s="20">
        <f t="shared" si="1"/>
        <v>2066</v>
      </c>
    </row>
    <row r="67" spans="1:43" ht="15" customHeight="1" x14ac:dyDescent="0.3">
      <c r="A67" s="6" t="s">
        <v>61</v>
      </c>
      <c r="D67" s="21" t="str">
        <f t="shared" ref="D67:AQ67" si="2">IF(D68&lt;&gt;"","Construction",IF(D69&lt;&gt;"","Operation","-"))</f>
        <v>Construction</v>
      </c>
      <c r="E67" s="21" t="str">
        <f t="shared" si="2"/>
        <v>Construction</v>
      </c>
      <c r="F67" s="21" t="str">
        <f t="shared" si="2"/>
        <v>Construction</v>
      </c>
      <c r="G67" s="21" t="str">
        <f t="shared" si="2"/>
        <v>Operation</v>
      </c>
      <c r="H67" s="21" t="str">
        <f t="shared" si="2"/>
        <v>Operation</v>
      </c>
      <c r="I67" s="21" t="str">
        <f t="shared" si="2"/>
        <v>Operation</v>
      </c>
      <c r="J67" s="21" t="str">
        <f t="shared" si="2"/>
        <v>Operation</v>
      </c>
      <c r="K67" s="21" t="str">
        <f t="shared" si="2"/>
        <v>Operation</v>
      </c>
      <c r="L67" s="21" t="str">
        <f t="shared" si="2"/>
        <v>Operation</v>
      </c>
      <c r="M67" s="21" t="str">
        <f t="shared" si="2"/>
        <v>Operation</v>
      </c>
      <c r="N67" s="21" t="str">
        <f t="shared" si="2"/>
        <v>Operation</v>
      </c>
      <c r="O67" s="21" t="str">
        <f t="shared" si="2"/>
        <v>Operation</v>
      </c>
      <c r="P67" s="21" t="str">
        <f t="shared" si="2"/>
        <v>Operation</v>
      </c>
      <c r="Q67" s="21" t="str">
        <f t="shared" si="2"/>
        <v>Operation</v>
      </c>
      <c r="R67" s="21" t="str">
        <f t="shared" si="2"/>
        <v>Operation</v>
      </c>
      <c r="S67" s="21" t="str">
        <f t="shared" si="2"/>
        <v>Operation</v>
      </c>
      <c r="T67" s="21" t="str">
        <f t="shared" si="2"/>
        <v>Operation</v>
      </c>
      <c r="U67" s="21" t="str">
        <f t="shared" si="2"/>
        <v>Operation</v>
      </c>
      <c r="V67" s="21" t="str">
        <f t="shared" si="2"/>
        <v>Operation</v>
      </c>
      <c r="W67" s="21" t="str">
        <f t="shared" si="2"/>
        <v>Operation</v>
      </c>
      <c r="X67" s="21" t="str">
        <f t="shared" si="2"/>
        <v>Operation</v>
      </c>
      <c r="Y67" s="21" t="str">
        <f t="shared" si="2"/>
        <v>Operation</v>
      </c>
      <c r="Z67" s="21" t="str">
        <f t="shared" si="2"/>
        <v>Operation</v>
      </c>
      <c r="AA67" s="21" t="str">
        <f t="shared" si="2"/>
        <v>Operation</v>
      </c>
      <c r="AB67" s="21" t="str">
        <f t="shared" si="2"/>
        <v>Operation</v>
      </c>
      <c r="AC67" s="21" t="str">
        <f t="shared" si="2"/>
        <v>Operation</v>
      </c>
      <c r="AD67" s="21" t="str">
        <f t="shared" si="2"/>
        <v>Operation</v>
      </c>
      <c r="AE67" s="21" t="str">
        <f t="shared" si="2"/>
        <v>Operation</v>
      </c>
      <c r="AF67" s="21" t="str">
        <f t="shared" si="2"/>
        <v>Operation</v>
      </c>
      <c r="AG67" s="21" t="str">
        <f t="shared" si="2"/>
        <v>Operation</v>
      </c>
      <c r="AH67" s="21" t="str">
        <f t="shared" si="2"/>
        <v>Operation</v>
      </c>
      <c r="AI67" s="21" t="str">
        <f t="shared" si="2"/>
        <v>Operation</v>
      </c>
      <c r="AJ67" s="21" t="str">
        <f t="shared" si="2"/>
        <v>Operation</v>
      </c>
      <c r="AK67" s="21" t="str">
        <f t="shared" si="2"/>
        <v>-</v>
      </c>
      <c r="AL67" s="21" t="str">
        <f t="shared" si="2"/>
        <v>-</v>
      </c>
      <c r="AM67" s="21" t="str">
        <f t="shared" si="2"/>
        <v>-</v>
      </c>
      <c r="AN67" s="21" t="str">
        <f t="shared" si="2"/>
        <v>-</v>
      </c>
      <c r="AO67" s="21" t="str">
        <f t="shared" si="2"/>
        <v>-</v>
      </c>
      <c r="AP67" s="21" t="str">
        <f t="shared" si="2"/>
        <v>-</v>
      </c>
      <c r="AQ67" s="21" t="str">
        <f t="shared" si="2"/>
        <v>-</v>
      </c>
    </row>
    <row r="68" spans="1:43" ht="15" customHeight="1" x14ac:dyDescent="0.3">
      <c r="A68" s="6" t="s">
        <v>62</v>
      </c>
      <c r="D68" s="20">
        <f t="shared" ref="D68:AQ68" si="3">IF(D65&lt;=$B$6,D65,"")</f>
        <v>1</v>
      </c>
      <c r="E68" s="20">
        <f t="shared" si="3"/>
        <v>2</v>
      </c>
      <c r="F68" s="20">
        <f t="shared" si="3"/>
        <v>3</v>
      </c>
      <c r="G68" s="20" t="str">
        <f t="shared" si="3"/>
        <v/>
      </c>
      <c r="H68" s="20" t="str">
        <f t="shared" si="3"/>
        <v/>
      </c>
      <c r="I68" s="20" t="str">
        <f t="shared" si="3"/>
        <v/>
      </c>
      <c r="J68" s="20" t="str">
        <f t="shared" si="3"/>
        <v/>
      </c>
      <c r="K68" s="20" t="str">
        <f t="shared" si="3"/>
        <v/>
      </c>
      <c r="L68" s="20" t="str">
        <f t="shared" si="3"/>
        <v/>
      </c>
      <c r="M68" s="20" t="str">
        <f t="shared" si="3"/>
        <v/>
      </c>
      <c r="N68" s="20" t="str">
        <f t="shared" si="3"/>
        <v/>
      </c>
      <c r="O68" s="20" t="str">
        <f t="shared" si="3"/>
        <v/>
      </c>
      <c r="P68" s="20" t="str">
        <f t="shared" si="3"/>
        <v/>
      </c>
      <c r="Q68" s="20" t="str">
        <f t="shared" si="3"/>
        <v/>
      </c>
      <c r="R68" s="20" t="str">
        <f t="shared" si="3"/>
        <v/>
      </c>
      <c r="S68" s="20" t="str">
        <f t="shared" si="3"/>
        <v/>
      </c>
      <c r="T68" s="20" t="str">
        <f t="shared" si="3"/>
        <v/>
      </c>
      <c r="U68" s="20" t="str">
        <f t="shared" si="3"/>
        <v/>
      </c>
      <c r="V68" s="20" t="str">
        <f t="shared" si="3"/>
        <v/>
      </c>
      <c r="W68" s="20" t="str">
        <f t="shared" si="3"/>
        <v/>
      </c>
      <c r="X68" s="20" t="str">
        <f t="shared" si="3"/>
        <v/>
      </c>
      <c r="Y68" s="20" t="str">
        <f t="shared" si="3"/>
        <v/>
      </c>
      <c r="Z68" s="20" t="str">
        <f t="shared" si="3"/>
        <v/>
      </c>
      <c r="AA68" s="20" t="str">
        <f t="shared" si="3"/>
        <v/>
      </c>
      <c r="AB68" s="20" t="str">
        <f t="shared" si="3"/>
        <v/>
      </c>
      <c r="AC68" s="20" t="str">
        <f t="shared" si="3"/>
        <v/>
      </c>
      <c r="AD68" s="20" t="str">
        <f t="shared" si="3"/>
        <v/>
      </c>
      <c r="AE68" s="20" t="str">
        <f t="shared" si="3"/>
        <v/>
      </c>
      <c r="AF68" s="20" t="str">
        <f t="shared" si="3"/>
        <v/>
      </c>
      <c r="AG68" s="20" t="str">
        <f t="shared" si="3"/>
        <v/>
      </c>
      <c r="AH68" s="20" t="str">
        <f t="shared" si="3"/>
        <v/>
      </c>
      <c r="AI68" s="20" t="str">
        <f t="shared" si="3"/>
        <v/>
      </c>
      <c r="AJ68" s="20" t="str">
        <f t="shared" si="3"/>
        <v/>
      </c>
      <c r="AK68" s="20" t="str">
        <f t="shared" si="3"/>
        <v/>
      </c>
      <c r="AL68" s="20" t="str">
        <f t="shared" si="3"/>
        <v/>
      </c>
      <c r="AM68" s="20" t="str">
        <f t="shared" si="3"/>
        <v/>
      </c>
      <c r="AN68" s="20" t="str">
        <f t="shared" si="3"/>
        <v/>
      </c>
      <c r="AO68" s="20" t="str">
        <f t="shared" si="3"/>
        <v/>
      </c>
      <c r="AP68" s="20" t="str">
        <f t="shared" si="3"/>
        <v/>
      </c>
      <c r="AQ68" s="20" t="str">
        <f t="shared" si="3"/>
        <v/>
      </c>
    </row>
    <row r="69" spans="1:43" ht="15" customHeight="1" x14ac:dyDescent="0.3">
      <c r="A69" s="6" t="s">
        <v>63</v>
      </c>
      <c r="D69" s="20" t="str">
        <f t="shared" ref="D69:AQ69" si="4">IF(AND(D65&gt;$B$6,D65&lt;=$B$6+$B$8),D65-$B$6,"")</f>
        <v/>
      </c>
      <c r="E69" s="20" t="str">
        <f t="shared" si="4"/>
        <v/>
      </c>
      <c r="F69" s="20" t="str">
        <f t="shared" si="4"/>
        <v/>
      </c>
      <c r="G69" s="20">
        <f t="shared" si="4"/>
        <v>1</v>
      </c>
      <c r="H69" s="20">
        <f t="shared" si="4"/>
        <v>2</v>
      </c>
      <c r="I69" s="20">
        <f t="shared" si="4"/>
        <v>3</v>
      </c>
      <c r="J69" s="20">
        <f t="shared" si="4"/>
        <v>4</v>
      </c>
      <c r="K69" s="20">
        <f t="shared" si="4"/>
        <v>5</v>
      </c>
      <c r="L69" s="20">
        <f t="shared" si="4"/>
        <v>6</v>
      </c>
      <c r="M69" s="20">
        <f t="shared" si="4"/>
        <v>7</v>
      </c>
      <c r="N69" s="20">
        <f t="shared" si="4"/>
        <v>8</v>
      </c>
      <c r="O69" s="20">
        <f t="shared" si="4"/>
        <v>9</v>
      </c>
      <c r="P69" s="20">
        <f t="shared" si="4"/>
        <v>10</v>
      </c>
      <c r="Q69" s="20">
        <f t="shared" si="4"/>
        <v>11</v>
      </c>
      <c r="R69" s="20">
        <f t="shared" si="4"/>
        <v>12</v>
      </c>
      <c r="S69" s="20">
        <f t="shared" si="4"/>
        <v>13</v>
      </c>
      <c r="T69" s="20">
        <f t="shared" si="4"/>
        <v>14</v>
      </c>
      <c r="U69" s="20">
        <f t="shared" si="4"/>
        <v>15</v>
      </c>
      <c r="V69" s="20">
        <f t="shared" si="4"/>
        <v>16</v>
      </c>
      <c r="W69" s="20">
        <f t="shared" si="4"/>
        <v>17</v>
      </c>
      <c r="X69" s="20">
        <f t="shared" si="4"/>
        <v>18</v>
      </c>
      <c r="Y69" s="20">
        <f t="shared" si="4"/>
        <v>19</v>
      </c>
      <c r="Z69" s="20">
        <f t="shared" si="4"/>
        <v>20</v>
      </c>
      <c r="AA69" s="20">
        <f t="shared" si="4"/>
        <v>21</v>
      </c>
      <c r="AB69" s="20">
        <f t="shared" si="4"/>
        <v>22</v>
      </c>
      <c r="AC69" s="20">
        <f t="shared" si="4"/>
        <v>23</v>
      </c>
      <c r="AD69" s="20">
        <f t="shared" si="4"/>
        <v>24</v>
      </c>
      <c r="AE69" s="20">
        <f t="shared" si="4"/>
        <v>25</v>
      </c>
      <c r="AF69" s="20">
        <f t="shared" si="4"/>
        <v>26</v>
      </c>
      <c r="AG69" s="20">
        <f t="shared" si="4"/>
        <v>27</v>
      </c>
      <c r="AH69" s="20">
        <f t="shared" si="4"/>
        <v>28</v>
      </c>
      <c r="AI69" s="20">
        <f t="shared" si="4"/>
        <v>29</v>
      </c>
      <c r="AJ69" s="20">
        <f t="shared" si="4"/>
        <v>30</v>
      </c>
      <c r="AK69" s="20" t="str">
        <f t="shared" si="4"/>
        <v/>
      </c>
      <c r="AL69" s="20" t="str">
        <f t="shared" si="4"/>
        <v/>
      </c>
      <c r="AM69" s="20" t="str">
        <f t="shared" si="4"/>
        <v/>
      </c>
      <c r="AN69" s="20" t="str">
        <f t="shared" si="4"/>
        <v/>
      </c>
      <c r="AO69" s="20" t="str">
        <f t="shared" si="4"/>
        <v/>
      </c>
      <c r="AP69" s="20" t="str">
        <f t="shared" si="4"/>
        <v/>
      </c>
      <c r="AQ69" s="20" t="str">
        <f t="shared" si="4"/>
        <v/>
      </c>
    </row>
    <row r="70" spans="1:43" ht="15" customHeight="1" x14ac:dyDescent="0.3">
      <c r="A70" s="6" t="s">
        <v>64</v>
      </c>
      <c r="D70" s="20" t="str">
        <f t="shared" ref="D70:AQ70" si="5">IF(AND(D69&lt;&gt;"",D69&lt;=$B$60),D69,"")</f>
        <v/>
      </c>
      <c r="E70" s="20" t="str">
        <f t="shared" si="5"/>
        <v/>
      </c>
      <c r="F70" s="20" t="str">
        <f t="shared" si="5"/>
        <v/>
      </c>
      <c r="G70" s="20">
        <f t="shared" si="5"/>
        <v>1</v>
      </c>
      <c r="H70" s="20">
        <f t="shared" si="5"/>
        <v>2</v>
      </c>
      <c r="I70" s="20">
        <f t="shared" si="5"/>
        <v>3</v>
      </c>
      <c r="J70" s="20">
        <f t="shared" si="5"/>
        <v>4</v>
      </c>
      <c r="K70" s="20">
        <f t="shared" si="5"/>
        <v>5</v>
      </c>
      <c r="L70" s="20">
        <f t="shared" si="5"/>
        <v>6</v>
      </c>
      <c r="M70" s="20">
        <f t="shared" si="5"/>
        <v>7</v>
      </c>
      <c r="N70" s="20">
        <f t="shared" si="5"/>
        <v>8</v>
      </c>
      <c r="O70" s="20">
        <f t="shared" si="5"/>
        <v>9</v>
      </c>
      <c r="P70" s="20">
        <f t="shared" si="5"/>
        <v>10</v>
      </c>
      <c r="Q70" s="20">
        <f t="shared" si="5"/>
        <v>11</v>
      </c>
      <c r="R70" s="20">
        <f t="shared" si="5"/>
        <v>12</v>
      </c>
      <c r="S70" s="20">
        <f t="shared" si="5"/>
        <v>13</v>
      </c>
      <c r="T70" s="20">
        <f t="shared" si="5"/>
        <v>14</v>
      </c>
      <c r="U70" s="20">
        <f t="shared" si="5"/>
        <v>15</v>
      </c>
      <c r="V70" s="20" t="str">
        <f t="shared" si="5"/>
        <v/>
      </c>
      <c r="W70" s="20" t="str">
        <f t="shared" si="5"/>
        <v/>
      </c>
      <c r="X70" s="20" t="str">
        <f t="shared" si="5"/>
        <v/>
      </c>
      <c r="Y70" s="20" t="str">
        <f t="shared" si="5"/>
        <v/>
      </c>
      <c r="Z70" s="20" t="str">
        <f t="shared" si="5"/>
        <v/>
      </c>
      <c r="AA70" s="20" t="str">
        <f t="shared" si="5"/>
        <v/>
      </c>
      <c r="AB70" s="20" t="str">
        <f t="shared" si="5"/>
        <v/>
      </c>
      <c r="AC70" s="20" t="str">
        <f t="shared" si="5"/>
        <v/>
      </c>
      <c r="AD70" s="20" t="str">
        <f t="shared" si="5"/>
        <v/>
      </c>
      <c r="AE70" s="20" t="str">
        <f t="shared" si="5"/>
        <v/>
      </c>
      <c r="AF70" s="20" t="str">
        <f t="shared" si="5"/>
        <v/>
      </c>
      <c r="AG70" s="20" t="str">
        <f t="shared" si="5"/>
        <v/>
      </c>
      <c r="AH70" s="20" t="str">
        <f t="shared" si="5"/>
        <v/>
      </c>
      <c r="AI70" s="20" t="str">
        <f t="shared" si="5"/>
        <v/>
      </c>
      <c r="AJ70" s="20" t="str">
        <f t="shared" si="5"/>
        <v/>
      </c>
      <c r="AK70" s="20" t="str">
        <f t="shared" si="5"/>
        <v/>
      </c>
      <c r="AL70" s="20" t="str">
        <f t="shared" si="5"/>
        <v/>
      </c>
      <c r="AM70" s="20" t="str">
        <f t="shared" si="5"/>
        <v/>
      </c>
      <c r="AN70" s="20" t="str">
        <f t="shared" si="5"/>
        <v/>
      </c>
      <c r="AO70" s="20" t="str">
        <f t="shared" si="5"/>
        <v/>
      </c>
      <c r="AP70" s="20" t="str">
        <f t="shared" si="5"/>
        <v/>
      </c>
      <c r="AQ70" s="20" t="str">
        <f t="shared" si="5"/>
        <v/>
      </c>
    </row>
    <row r="71" spans="1:43" ht="15" customHeight="1" x14ac:dyDescent="0.3">
      <c r="A71" s="6" t="s">
        <v>65</v>
      </c>
      <c r="D71" s="20">
        <f t="shared" ref="D71:AQ71" si="6">IF(AND(D69&lt;&gt;"",D69&lt;=$B$9),1,0)</f>
        <v>0</v>
      </c>
      <c r="E71" s="20">
        <f t="shared" si="6"/>
        <v>0</v>
      </c>
      <c r="F71" s="20">
        <f t="shared" si="6"/>
        <v>0</v>
      </c>
      <c r="G71" s="20">
        <f t="shared" si="6"/>
        <v>1</v>
      </c>
      <c r="H71" s="20">
        <f t="shared" si="6"/>
        <v>1</v>
      </c>
      <c r="I71" s="20">
        <f t="shared" si="6"/>
        <v>1</v>
      </c>
      <c r="J71" s="20">
        <f t="shared" si="6"/>
        <v>1</v>
      </c>
      <c r="K71" s="20">
        <f t="shared" si="6"/>
        <v>1</v>
      </c>
      <c r="L71" s="20">
        <f t="shared" si="6"/>
        <v>1</v>
      </c>
      <c r="M71" s="20">
        <f t="shared" si="6"/>
        <v>1</v>
      </c>
      <c r="N71" s="20">
        <f t="shared" si="6"/>
        <v>1</v>
      </c>
      <c r="O71" s="20">
        <f t="shared" si="6"/>
        <v>1</v>
      </c>
      <c r="P71" s="20">
        <f t="shared" si="6"/>
        <v>1</v>
      </c>
      <c r="Q71" s="20">
        <f t="shared" si="6"/>
        <v>1</v>
      </c>
      <c r="R71" s="20">
        <f t="shared" si="6"/>
        <v>1</v>
      </c>
      <c r="S71" s="20">
        <f t="shared" si="6"/>
        <v>1</v>
      </c>
      <c r="T71" s="20">
        <f t="shared" si="6"/>
        <v>1</v>
      </c>
      <c r="U71" s="20">
        <f t="shared" si="6"/>
        <v>1</v>
      </c>
      <c r="V71" s="20">
        <f t="shared" si="6"/>
        <v>1</v>
      </c>
      <c r="W71" s="20">
        <f t="shared" si="6"/>
        <v>1</v>
      </c>
      <c r="X71" s="20">
        <f t="shared" si="6"/>
        <v>1</v>
      </c>
      <c r="Y71" s="20">
        <f t="shared" si="6"/>
        <v>1</v>
      </c>
      <c r="Z71" s="20">
        <f t="shared" si="6"/>
        <v>1</v>
      </c>
      <c r="AA71" s="20">
        <f t="shared" si="6"/>
        <v>1</v>
      </c>
      <c r="AB71" s="20">
        <f t="shared" si="6"/>
        <v>1</v>
      </c>
      <c r="AC71" s="20">
        <f t="shared" si="6"/>
        <v>1</v>
      </c>
      <c r="AD71" s="20">
        <f t="shared" si="6"/>
        <v>1</v>
      </c>
      <c r="AE71" s="20">
        <f t="shared" si="6"/>
        <v>1</v>
      </c>
      <c r="AF71" s="20">
        <f t="shared" si="6"/>
        <v>1</v>
      </c>
      <c r="AG71" s="20">
        <f t="shared" si="6"/>
        <v>1</v>
      </c>
      <c r="AH71" s="20">
        <f t="shared" si="6"/>
        <v>1</v>
      </c>
      <c r="AI71" s="20">
        <f t="shared" si="6"/>
        <v>1</v>
      </c>
      <c r="AJ71" s="20">
        <f t="shared" si="6"/>
        <v>1</v>
      </c>
      <c r="AK71" s="20">
        <f t="shared" si="6"/>
        <v>0</v>
      </c>
      <c r="AL71" s="20">
        <f t="shared" si="6"/>
        <v>0</v>
      </c>
      <c r="AM71" s="20">
        <f t="shared" si="6"/>
        <v>0</v>
      </c>
      <c r="AN71" s="20">
        <f t="shared" si="6"/>
        <v>0</v>
      </c>
      <c r="AO71" s="20">
        <f t="shared" si="6"/>
        <v>0</v>
      </c>
      <c r="AP71" s="20">
        <f t="shared" si="6"/>
        <v>0</v>
      </c>
      <c r="AQ71" s="20">
        <f t="shared" si="6"/>
        <v>0</v>
      </c>
    </row>
    <row r="72" spans="1:43" ht="15" customHeight="1" x14ac:dyDescent="0.3">
      <c r="A72" s="6" t="s">
        <v>66</v>
      </c>
      <c r="D72" s="20">
        <f t="shared" ref="D72:AQ72" si="7">IF(AND(D69&lt;&gt;"",D69&lt;=$B$37),1,0)</f>
        <v>0</v>
      </c>
      <c r="E72" s="20">
        <f t="shared" si="7"/>
        <v>0</v>
      </c>
      <c r="F72" s="20">
        <f t="shared" si="7"/>
        <v>0</v>
      </c>
      <c r="G72" s="20">
        <f t="shared" si="7"/>
        <v>1</v>
      </c>
      <c r="H72" s="20">
        <f t="shared" si="7"/>
        <v>1</v>
      </c>
      <c r="I72" s="20">
        <f t="shared" si="7"/>
        <v>1</v>
      </c>
      <c r="J72" s="20">
        <f t="shared" si="7"/>
        <v>1</v>
      </c>
      <c r="K72" s="20">
        <f t="shared" si="7"/>
        <v>1</v>
      </c>
      <c r="L72" s="20">
        <f t="shared" si="7"/>
        <v>0</v>
      </c>
      <c r="M72" s="20">
        <f t="shared" si="7"/>
        <v>0</v>
      </c>
      <c r="N72" s="20">
        <f t="shared" si="7"/>
        <v>0</v>
      </c>
      <c r="O72" s="20">
        <f t="shared" si="7"/>
        <v>0</v>
      </c>
      <c r="P72" s="20">
        <f t="shared" si="7"/>
        <v>0</v>
      </c>
      <c r="Q72" s="20">
        <f t="shared" si="7"/>
        <v>0</v>
      </c>
      <c r="R72" s="20">
        <f t="shared" si="7"/>
        <v>0</v>
      </c>
      <c r="S72" s="20">
        <f t="shared" si="7"/>
        <v>0</v>
      </c>
      <c r="T72" s="20">
        <f t="shared" si="7"/>
        <v>0</v>
      </c>
      <c r="U72" s="20">
        <f t="shared" si="7"/>
        <v>0</v>
      </c>
      <c r="V72" s="20">
        <f t="shared" si="7"/>
        <v>0</v>
      </c>
      <c r="W72" s="20">
        <f t="shared" si="7"/>
        <v>0</v>
      </c>
      <c r="X72" s="20">
        <f t="shared" si="7"/>
        <v>0</v>
      </c>
      <c r="Y72" s="20">
        <f t="shared" si="7"/>
        <v>0</v>
      </c>
      <c r="Z72" s="20">
        <f t="shared" si="7"/>
        <v>0</v>
      </c>
      <c r="AA72" s="20">
        <f t="shared" si="7"/>
        <v>0</v>
      </c>
      <c r="AB72" s="20">
        <f t="shared" si="7"/>
        <v>0</v>
      </c>
      <c r="AC72" s="20">
        <f t="shared" si="7"/>
        <v>0</v>
      </c>
      <c r="AD72" s="20">
        <f t="shared" si="7"/>
        <v>0</v>
      </c>
      <c r="AE72" s="20">
        <f t="shared" si="7"/>
        <v>0</v>
      </c>
      <c r="AF72" s="20">
        <f t="shared" si="7"/>
        <v>0</v>
      </c>
      <c r="AG72" s="20">
        <f t="shared" si="7"/>
        <v>0</v>
      </c>
      <c r="AH72" s="20">
        <f t="shared" si="7"/>
        <v>0</v>
      </c>
      <c r="AI72" s="20">
        <f t="shared" si="7"/>
        <v>0</v>
      </c>
      <c r="AJ72" s="20">
        <f t="shared" si="7"/>
        <v>0</v>
      </c>
      <c r="AK72" s="20">
        <f t="shared" si="7"/>
        <v>0</v>
      </c>
      <c r="AL72" s="20">
        <f t="shared" si="7"/>
        <v>0</v>
      </c>
      <c r="AM72" s="20">
        <f t="shared" si="7"/>
        <v>0</v>
      </c>
      <c r="AN72" s="20">
        <f t="shared" si="7"/>
        <v>0</v>
      </c>
      <c r="AO72" s="20">
        <f t="shared" si="7"/>
        <v>0</v>
      </c>
      <c r="AP72" s="20">
        <f t="shared" si="7"/>
        <v>0</v>
      </c>
      <c r="AQ72" s="20">
        <f t="shared" si="7"/>
        <v>0</v>
      </c>
    </row>
    <row r="73" spans="1:43" ht="15" customHeight="1" x14ac:dyDescent="0.3">
      <c r="A73" s="6" t="s">
        <v>67</v>
      </c>
      <c r="D73" s="20">
        <f t="shared" ref="D73:AQ73" si="8">IF(AND(D69&lt;&gt;"",D69&lt;=$B$39),1,0)</f>
        <v>0</v>
      </c>
      <c r="E73" s="20">
        <f t="shared" si="8"/>
        <v>0</v>
      </c>
      <c r="F73" s="20">
        <f t="shared" si="8"/>
        <v>0</v>
      </c>
      <c r="G73" s="20">
        <f t="shared" si="8"/>
        <v>1</v>
      </c>
      <c r="H73" s="20">
        <f t="shared" si="8"/>
        <v>1</v>
      </c>
      <c r="I73" s="20">
        <f t="shared" si="8"/>
        <v>1</v>
      </c>
      <c r="J73" s="20">
        <f t="shared" si="8"/>
        <v>1</v>
      </c>
      <c r="K73" s="20">
        <f t="shared" si="8"/>
        <v>1</v>
      </c>
      <c r="L73" s="20">
        <f t="shared" si="8"/>
        <v>1</v>
      </c>
      <c r="M73" s="20">
        <f t="shared" si="8"/>
        <v>0</v>
      </c>
      <c r="N73" s="20">
        <f t="shared" si="8"/>
        <v>0</v>
      </c>
      <c r="O73" s="20">
        <f t="shared" si="8"/>
        <v>0</v>
      </c>
      <c r="P73" s="20">
        <f t="shared" si="8"/>
        <v>0</v>
      </c>
      <c r="Q73" s="20">
        <f t="shared" si="8"/>
        <v>0</v>
      </c>
      <c r="R73" s="20">
        <f t="shared" si="8"/>
        <v>0</v>
      </c>
      <c r="S73" s="20">
        <f t="shared" si="8"/>
        <v>0</v>
      </c>
      <c r="T73" s="20">
        <f t="shared" si="8"/>
        <v>0</v>
      </c>
      <c r="U73" s="20">
        <f t="shared" si="8"/>
        <v>0</v>
      </c>
      <c r="V73" s="20">
        <f t="shared" si="8"/>
        <v>0</v>
      </c>
      <c r="W73" s="20">
        <f t="shared" si="8"/>
        <v>0</v>
      </c>
      <c r="X73" s="20">
        <f t="shared" si="8"/>
        <v>0</v>
      </c>
      <c r="Y73" s="20">
        <f t="shared" si="8"/>
        <v>0</v>
      </c>
      <c r="Z73" s="20">
        <f t="shared" si="8"/>
        <v>0</v>
      </c>
      <c r="AA73" s="20">
        <f t="shared" si="8"/>
        <v>0</v>
      </c>
      <c r="AB73" s="20">
        <f t="shared" si="8"/>
        <v>0</v>
      </c>
      <c r="AC73" s="20">
        <f t="shared" si="8"/>
        <v>0</v>
      </c>
      <c r="AD73" s="20">
        <f t="shared" si="8"/>
        <v>0</v>
      </c>
      <c r="AE73" s="20">
        <f t="shared" si="8"/>
        <v>0</v>
      </c>
      <c r="AF73" s="20">
        <f t="shared" si="8"/>
        <v>0</v>
      </c>
      <c r="AG73" s="20">
        <f t="shared" si="8"/>
        <v>0</v>
      </c>
      <c r="AH73" s="20">
        <f t="shared" si="8"/>
        <v>0</v>
      </c>
      <c r="AI73" s="20">
        <f t="shared" si="8"/>
        <v>0</v>
      </c>
      <c r="AJ73" s="20">
        <f t="shared" si="8"/>
        <v>0</v>
      </c>
      <c r="AK73" s="20">
        <f t="shared" si="8"/>
        <v>0</v>
      </c>
      <c r="AL73" s="20">
        <f t="shared" si="8"/>
        <v>0</v>
      </c>
      <c r="AM73" s="20">
        <f t="shared" si="8"/>
        <v>0</v>
      </c>
      <c r="AN73" s="20">
        <f t="shared" si="8"/>
        <v>0</v>
      </c>
      <c r="AO73" s="20">
        <f t="shared" si="8"/>
        <v>0</v>
      </c>
      <c r="AP73" s="20">
        <f t="shared" si="8"/>
        <v>0</v>
      </c>
      <c r="AQ73" s="20">
        <f t="shared" si="8"/>
        <v>0</v>
      </c>
    </row>
  </sheetData>
  <mergeCells count="9">
    <mergeCell ref="A45:C45"/>
    <mergeCell ref="A51:C51"/>
    <mergeCell ref="A57:C57"/>
    <mergeCell ref="A64:AQ64"/>
    <mergeCell ref="A4:C4"/>
    <mergeCell ref="A12:C12"/>
    <mergeCell ref="A17:C17"/>
    <mergeCell ref="A30:C30"/>
    <mergeCell ref="A35:C35"/>
  </mergeCells>
  <dataValidations count="2">
    <dataValidation type="list" sqref="B43" xr:uid="{00000000-0002-0000-0000-000000000000}">
      <formula1>"None,Tax Holiday Only,Tax Allowance Only,Holiday + Allowance"</formula1>
      <formula2>0</formula2>
    </dataValidation>
    <dataValidation type="list" sqref="B48" xr:uid="{00000000-0002-0000-0000-000001000000}">
      <formula1>"Flat,Escalated"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A87"/>
  </sheetPr>
  <dimension ref="A1:AQ34"/>
  <sheetViews>
    <sheetView showGridLines="0" tabSelected="1" zoomScaleNormal="10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I26" sqref="I26"/>
    </sheetView>
  </sheetViews>
  <sheetFormatPr defaultColWidth="8.6640625" defaultRowHeight="14.4" x14ac:dyDescent="0.3"/>
  <cols>
    <col min="1" max="1" width="38" customWidth="1"/>
    <col min="2" max="3" width="12" customWidth="1"/>
    <col min="4" max="43" width="10.5546875" customWidth="1"/>
  </cols>
  <sheetData>
    <row r="1" spans="1:43" ht="19.5" customHeight="1" x14ac:dyDescent="0.4">
      <c r="A1" s="1" t="s">
        <v>68</v>
      </c>
    </row>
    <row r="2" spans="1:43" ht="15" customHeight="1" x14ac:dyDescent="0.3">
      <c r="A2" s="2" t="s">
        <v>69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7" spans="1:43" ht="15" customHeight="1" x14ac:dyDescent="0.3">
      <c r="A7" s="6" t="s">
        <v>62</v>
      </c>
      <c r="D7" s="22">
        <f>Assumptions!D68</f>
        <v>1</v>
      </c>
      <c r="E7" s="22">
        <f>Assumptions!E68</f>
        <v>2</v>
      </c>
      <c r="F7" s="22">
        <f>Assumptions!F68</f>
        <v>3</v>
      </c>
      <c r="G7" s="22" t="str">
        <f>Assumptions!G68</f>
        <v/>
      </c>
      <c r="H7" s="22" t="str">
        <f>Assumptions!H68</f>
        <v/>
      </c>
      <c r="I7" s="22" t="str">
        <f>Assumptions!I68</f>
        <v/>
      </c>
      <c r="J7" s="22" t="str">
        <f>Assumptions!J68</f>
        <v/>
      </c>
      <c r="K7" s="22" t="str">
        <f>Assumptions!K68</f>
        <v/>
      </c>
      <c r="L7" s="22" t="str">
        <f>Assumptions!L68</f>
        <v/>
      </c>
      <c r="M7" s="22" t="str">
        <f>Assumptions!M68</f>
        <v/>
      </c>
      <c r="N7" s="22" t="str">
        <f>Assumptions!N68</f>
        <v/>
      </c>
      <c r="O7" s="22" t="str">
        <f>Assumptions!O68</f>
        <v/>
      </c>
      <c r="P7" s="22" t="str">
        <f>Assumptions!P68</f>
        <v/>
      </c>
      <c r="Q7" s="22" t="str">
        <f>Assumptions!Q68</f>
        <v/>
      </c>
      <c r="R7" s="22" t="str">
        <f>Assumptions!R68</f>
        <v/>
      </c>
      <c r="S7" s="22" t="str">
        <f>Assumptions!S68</f>
        <v/>
      </c>
      <c r="T7" s="22" t="str">
        <f>Assumptions!T68</f>
        <v/>
      </c>
      <c r="U7" s="22" t="str">
        <f>Assumptions!U68</f>
        <v/>
      </c>
      <c r="V7" s="22" t="str">
        <f>Assumptions!V68</f>
        <v/>
      </c>
      <c r="W7" s="22" t="str">
        <f>Assumptions!W68</f>
        <v/>
      </c>
      <c r="X7" s="22" t="str">
        <f>Assumptions!X68</f>
        <v/>
      </c>
      <c r="Y7" s="22" t="str">
        <f>Assumptions!Y68</f>
        <v/>
      </c>
      <c r="Z7" s="22" t="str">
        <f>Assumptions!Z68</f>
        <v/>
      </c>
      <c r="AA7" s="22" t="str">
        <f>Assumptions!AA68</f>
        <v/>
      </c>
      <c r="AB7" s="22" t="str">
        <f>Assumptions!AB68</f>
        <v/>
      </c>
      <c r="AC7" s="22" t="str">
        <f>Assumptions!AC68</f>
        <v/>
      </c>
      <c r="AD7" s="22" t="str">
        <f>Assumptions!AD68</f>
        <v/>
      </c>
      <c r="AE7" s="22" t="str">
        <f>Assumptions!AE68</f>
        <v/>
      </c>
      <c r="AF7" s="22" t="str">
        <f>Assumptions!AF68</f>
        <v/>
      </c>
      <c r="AG7" s="22" t="str">
        <f>Assumptions!AG68</f>
        <v/>
      </c>
      <c r="AH7" s="22" t="str">
        <f>Assumptions!AH68</f>
        <v/>
      </c>
      <c r="AI7" s="22" t="str">
        <f>Assumptions!AI68</f>
        <v/>
      </c>
      <c r="AJ7" s="22" t="str">
        <f>Assumptions!AJ68</f>
        <v/>
      </c>
      <c r="AK7" s="22" t="str">
        <f>Assumptions!AK68</f>
        <v/>
      </c>
      <c r="AL7" s="22" t="str">
        <f>Assumptions!AL68</f>
        <v/>
      </c>
      <c r="AM7" s="22" t="str">
        <f>Assumptions!AM68</f>
        <v/>
      </c>
      <c r="AN7" s="22" t="str">
        <f>Assumptions!AN68</f>
        <v/>
      </c>
      <c r="AO7" s="22" t="str">
        <f>Assumptions!AO68</f>
        <v/>
      </c>
      <c r="AP7" s="22" t="str">
        <f>Assumptions!AP68</f>
        <v/>
      </c>
      <c r="AQ7" s="22" t="str">
        <f>Assumptions!AQ68</f>
        <v/>
      </c>
    </row>
    <row r="8" spans="1:43" ht="18" customHeight="1" x14ac:dyDescent="0.3">
      <c r="A8" s="51" t="s">
        <v>71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spans="1:43" ht="15" customHeight="1" x14ac:dyDescent="0.3">
      <c r="A9" s="3" t="s">
        <v>72</v>
      </c>
      <c r="D9" s="25">
        <f>IF(D7&lt;&gt;"",INDEX(Assumptions!$B$23:$B$27,D7),0)</f>
        <v>0.3</v>
      </c>
      <c r="E9" s="25">
        <f>IF(E7&lt;&gt;"",INDEX(Assumptions!$B$23:$B$27,E7),0)</f>
        <v>0.45</v>
      </c>
      <c r="F9" s="25">
        <f>IF(F7&lt;&gt;"",INDEX(Assumptions!$B$23:$B$27,F7),0)</f>
        <v>0.25</v>
      </c>
      <c r="G9" s="25">
        <f>IF(G7&lt;&gt;"",INDEX(Assumptions!$B$23:$B$27,G7),0)</f>
        <v>0</v>
      </c>
      <c r="H9" s="25">
        <f>IF(H7&lt;&gt;"",INDEX(Assumptions!$B$23:$B$27,H7),0)</f>
        <v>0</v>
      </c>
      <c r="I9" s="25">
        <f>IF(I7&lt;&gt;"",INDEX(Assumptions!$B$23:$B$27,I7),0)</f>
        <v>0</v>
      </c>
      <c r="J9" s="25">
        <f>IF(J7&lt;&gt;"",INDEX(Assumptions!$B$23:$B$27,J7),0)</f>
        <v>0</v>
      </c>
      <c r="K9" s="25">
        <f>IF(K7&lt;&gt;"",INDEX(Assumptions!$B$23:$B$27,K7),0)</f>
        <v>0</v>
      </c>
      <c r="L9" s="25">
        <f>IF(L7&lt;&gt;"",INDEX(Assumptions!$B$23:$B$27,L7),0)</f>
        <v>0</v>
      </c>
      <c r="M9" s="25">
        <f>IF(M7&lt;&gt;"",INDEX(Assumptions!$B$23:$B$27,M7),0)</f>
        <v>0</v>
      </c>
      <c r="N9" s="25">
        <f>IF(N7&lt;&gt;"",INDEX(Assumptions!$B$23:$B$27,N7),0)</f>
        <v>0</v>
      </c>
      <c r="O9" s="25">
        <f>IF(O7&lt;&gt;"",INDEX(Assumptions!$B$23:$B$27,O7),0)</f>
        <v>0</v>
      </c>
      <c r="P9" s="25">
        <f>IF(P7&lt;&gt;"",INDEX(Assumptions!$B$23:$B$27,P7),0)</f>
        <v>0</v>
      </c>
      <c r="Q9" s="25">
        <f>IF(Q7&lt;&gt;"",INDEX(Assumptions!$B$23:$B$27,Q7),0)</f>
        <v>0</v>
      </c>
      <c r="R9" s="25">
        <f>IF(R7&lt;&gt;"",INDEX(Assumptions!$B$23:$B$27,R7),0)</f>
        <v>0</v>
      </c>
      <c r="S9" s="25">
        <f>IF(S7&lt;&gt;"",INDEX(Assumptions!$B$23:$B$27,S7),0)</f>
        <v>0</v>
      </c>
      <c r="T9" s="25">
        <f>IF(T7&lt;&gt;"",INDEX(Assumptions!$B$23:$B$27,T7),0)</f>
        <v>0</v>
      </c>
      <c r="U9" s="25">
        <f>IF(U7&lt;&gt;"",INDEX(Assumptions!$B$23:$B$27,U7),0)</f>
        <v>0</v>
      </c>
      <c r="V9" s="25">
        <f>IF(V7&lt;&gt;"",INDEX(Assumptions!$B$23:$B$27,V7),0)</f>
        <v>0</v>
      </c>
      <c r="W9" s="25">
        <f>IF(W7&lt;&gt;"",INDEX(Assumptions!$B$23:$B$27,W7),0)</f>
        <v>0</v>
      </c>
      <c r="X9" s="25">
        <f>IF(X7&lt;&gt;"",INDEX(Assumptions!$B$23:$B$27,X7),0)</f>
        <v>0</v>
      </c>
      <c r="Y9" s="25">
        <f>IF(Y7&lt;&gt;"",INDEX(Assumptions!$B$23:$B$27,Y7),0)</f>
        <v>0</v>
      </c>
      <c r="Z9" s="25">
        <f>IF(Z7&lt;&gt;"",INDEX(Assumptions!$B$23:$B$27,Z7),0)</f>
        <v>0</v>
      </c>
      <c r="AA9" s="25">
        <f>IF(AA7&lt;&gt;"",INDEX(Assumptions!$B$23:$B$27,AA7),0)</f>
        <v>0</v>
      </c>
      <c r="AB9" s="25">
        <f>IF(AB7&lt;&gt;"",INDEX(Assumptions!$B$23:$B$27,AB7),0)</f>
        <v>0</v>
      </c>
      <c r="AC9" s="25">
        <f>IF(AC7&lt;&gt;"",INDEX(Assumptions!$B$23:$B$27,AC7),0)</f>
        <v>0</v>
      </c>
      <c r="AD9" s="25">
        <f>IF(AD7&lt;&gt;"",INDEX(Assumptions!$B$23:$B$27,AD7),0)</f>
        <v>0</v>
      </c>
      <c r="AE9" s="25">
        <f>IF(AE7&lt;&gt;"",INDEX(Assumptions!$B$23:$B$27,AE7),0)</f>
        <v>0</v>
      </c>
      <c r="AF9" s="25">
        <f>IF(AF7&lt;&gt;"",INDEX(Assumptions!$B$23:$B$27,AF7),0)</f>
        <v>0</v>
      </c>
      <c r="AG9" s="25">
        <f>IF(AG7&lt;&gt;"",INDEX(Assumptions!$B$23:$B$27,AG7),0)</f>
        <v>0</v>
      </c>
      <c r="AH9" s="25">
        <f>IF(AH7&lt;&gt;"",INDEX(Assumptions!$B$23:$B$27,AH7),0)</f>
        <v>0</v>
      </c>
      <c r="AI9" s="25">
        <f>IF(AI7&lt;&gt;"",INDEX(Assumptions!$B$23:$B$27,AI7),0)</f>
        <v>0</v>
      </c>
      <c r="AJ9" s="25">
        <f>IF(AJ7&lt;&gt;"",INDEX(Assumptions!$B$23:$B$27,AJ7),0)</f>
        <v>0</v>
      </c>
      <c r="AK9" s="25">
        <f>IF(AK7&lt;&gt;"",INDEX(Assumptions!$B$23:$B$27,AK7),0)</f>
        <v>0</v>
      </c>
      <c r="AL9" s="25">
        <f>IF(AL7&lt;&gt;"",INDEX(Assumptions!$B$23:$B$27,AL7),0)</f>
        <v>0</v>
      </c>
      <c r="AM9" s="25">
        <f>IF(AM7&lt;&gt;"",INDEX(Assumptions!$B$23:$B$27,AM7),0)</f>
        <v>0</v>
      </c>
      <c r="AN9" s="25">
        <f>IF(AN7&lt;&gt;"",INDEX(Assumptions!$B$23:$B$27,AN7),0)</f>
        <v>0</v>
      </c>
      <c r="AO9" s="25">
        <f>IF(AO7&lt;&gt;"",INDEX(Assumptions!$B$23:$B$27,AO7),0)</f>
        <v>0</v>
      </c>
      <c r="AP9" s="25">
        <f>IF(AP7&lt;&gt;"",INDEX(Assumptions!$B$23:$B$27,AP7),0)</f>
        <v>0</v>
      </c>
      <c r="AQ9" s="25">
        <f>IF(AQ7&lt;&gt;"",INDEX(Assumptions!$B$23:$B$27,AQ7),0)</f>
        <v>0</v>
      </c>
    </row>
    <row r="10" spans="1:43" ht="15" customHeight="1" x14ac:dyDescent="0.3">
      <c r="A10" s="3" t="s">
        <v>73</v>
      </c>
      <c r="D10" s="26">
        <f>Assumptions!$B$19*D9</f>
        <v>74.25</v>
      </c>
      <c r="E10" s="26">
        <f>Assumptions!$B$19*E9</f>
        <v>111.375</v>
      </c>
      <c r="F10" s="26">
        <f>Assumptions!$B$19*F9</f>
        <v>61.875</v>
      </c>
      <c r="G10" s="26">
        <f>Assumptions!$B$19*G9</f>
        <v>0</v>
      </c>
      <c r="H10" s="26">
        <f>Assumptions!$B$19*H9</f>
        <v>0</v>
      </c>
      <c r="I10" s="26">
        <f>Assumptions!$B$19*I9</f>
        <v>0</v>
      </c>
      <c r="J10" s="26">
        <f>Assumptions!$B$19*J9</f>
        <v>0</v>
      </c>
      <c r="K10" s="26">
        <f>Assumptions!$B$19*K9</f>
        <v>0</v>
      </c>
      <c r="L10" s="26">
        <f>Assumptions!$B$19*L9</f>
        <v>0</v>
      </c>
      <c r="M10" s="26">
        <f>Assumptions!$B$19*M9</f>
        <v>0</v>
      </c>
      <c r="N10" s="26">
        <f>Assumptions!$B$19*N9</f>
        <v>0</v>
      </c>
      <c r="O10" s="26">
        <f>Assumptions!$B$19*O9</f>
        <v>0</v>
      </c>
      <c r="P10" s="26">
        <f>Assumptions!$B$19*P9</f>
        <v>0</v>
      </c>
      <c r="Q10" s="26">
        <f>Assumptions!$B$19*Q9</f>
        <v>0</v>
      </c>
      <c r="R10" s="26">
        <f>Assumptions!$B$19*R9</f>
        <v>0</v>
      </c>
      <c r="S10" s="26">
        <f>Assumptions!$B$19*S9</f>
        <v>0</v>
      </c>
      <c r="T10" s="26">
        <f>Assumptions!$B$19*T9</f>
        <v>0</v>
      </c>
      <c r="U10" s="26">
        <f>Assumptions!$B$19*U9</f>
        <v>0</v>
      </c>
      <c r="V10" s="26">
        <f>Assumptions!$B$19*V9</f>
        <v>0</v>
      </c>
      <c r="W10" s="26">
        <f>Assumptions!$B$19*W9</f>
        <v>0</v>
      </c>
      <c r="X10" s="26">
        <f>Assumptions!$B$19*X9</f>
        <v>0</v>
      </c>
      <c r="Y10" s="26">
        <f>Assumptions!$B$19*Y9</f>
        <v>0</v>
      </c>
      <c r="Z10" s="26">
        <f>Assumptions!$B$19*Z9</f>
        <v>0</v>
      </c>
      <c r="AA10" s="26">
        <f>Assumptions!$B$19*AA9</f>
        <v>0</v>
      </c>
      <c r="AB10" s="26">
        <f>Assumptions!$B$19*AB9</f>
        <v>0</v>
      </c>
      <c r="AC10" s="26">
        <f>Assumptions!$B$19*AC9</f>
        <v>0</v>
      </c>
      <c r="AD10" s="26">
        <f>Assumptions!$B$19*AD9</f>
        <v>0</v>
      </c>
      <c r="AE10" s="26">
        <f>Assumptions!$B$19*AE9</f>
        <v>0</v>
      </c>
      <c r="AF10" s="26">
        <f>Assumptions!$B$19*AF9</f>
        <v>0</v>
      </c>
      <c r="AG10" s="26">
        <f>Assumptions!$B$19*AG9</f>
        <v>0</v>
      </c>
      <c r="AH10" s="26">
        <f>Assumptions!$B$19*AH9</f>
        <v>0</v>
      </c>
      <c r="AI10" s="26">
        <f>Assumptions!$B$19*AI9</f>
        <v>0</v>
      </c>
      <c r="AJ10" s="26">
        <f>Assumptions!$B$19*AJ9</f>
        <v>0</v>
      </c>
      <c r="AK10" s="26">
        <f>Assumptions!$B$19*AK9</f>
        <v>0</v>
      </c>
      <c r="AL10" s="26">
        <f>Assumptions!$B$19*AL9</f>
        <v>0</v>
      </c>
      <c r="AM10" s="26">
        <f>Assumptions!$B$19*AM9</f>
        <v>0</v>
      </c>
      <c r="AN10" s="26">
        <f>Assumptions!$B$19*AN9</f>
        <v>0</v>
      </c>
      <c r="AO10" s="26">
        <f>Assumptions!$B$19*AO9</f>
        <v>0</v>
      </c>
      <c r="AP10" s="26">
        <f>Assumptions!$B$19*AP9</f>
        <v>0</v>
      </c>
      <c r="AQ10" s="26">
        <f>Assumptions!$B$19*AQ9</f>
        <v>0</v>
      </c>
    </row>
    <row r="11" spans="1:43" ht="15" customHeight="1" x14ac:dyDescent="0.3">
      <c r="A11" s="3" t="s">
        <v>74</v>
      </c>
      <c r="D11" s="26">
        <f>D10*Assumptions!$B$33*Assumptions!$B$32</f>
        <v>2.2275</v>
      </c>
      <c r="E11" s="26">
        <f>E10*Assumptions!$B$33*Assumptions!$B$32</f>
        <v>3.3412500000000005</v>
      </c>
      <c r="F11" s="26">
        <f>F10*Assumptions!$B$33*Assumptions!$B$32</f>
        <v>1.8562500000000002</v>
      </c>
      <c r="G11" s="26">
        <f>G10*Assumptions!$B$33*Assumptions!$B$32</f>
        <v>0</v>
      </c>
      <c r="H11" s="26">
        <f>H10*Assumptions!$B$33*Assumptions!$B$32</f>
        <v>0</v>
      </c>
      <c r="I11" s="26">
        <f>I10*Assumptions!$B$33*Assumptions!$B$32</f>
        <v>0</v>
      </c>
      <c r="J11" s="26">
        <f>J10*Assumptions!$B$33*Assumptions!$B$32</f>
        <v>0</v>
      </c>
      <c r="K11" s="26">
        <f>K10*Assumptions!$B$33*Assumptions!$B$32</f>
        <v>0</v>
      </c>
      <c r="L11" s="26">
        <f>L10*Assumptions!$B$33*Assumptions!$B$32</f>
        <v>0</v>
      </c>
      <c r="M11" s="26">
        <f>M10*Assumptions!$B$33*Assumptions!$B$32</f>
        <v>0</v>
      </c>
      <c r="N11" s="26">
        <f>N10*Assumptions!$B$33*Assumptions!$B$32</f>
        <v>0</v>
      </c>
      <c r="O11" s="26">
        <f>O10*Assumptions!$B$33*Assumptions!$B$32</f>
        <v>0</v>
      </c>
      <c r="P11" s="26">
        <f>P10*Assumptions!$B$33*Assumptions!$B$32</f>
        <v>0</v>
      </c>
      <c r="Q11" s="26">
        <f>Q10*Assumptions!$B$33*Assumptions!$B$32</f>
        <v>0</v>
      </c>
      <c r="R11" s="26">
        <f>R10*Assumptions!$B$33*Assumptions!$B$32</f>
        <v>0</v>
      </c>
      <c r="S11" s="26">
        <f>S10*Assumptions!$B$33*Assumptions!$B$32</f>
        <v>0</v>
      </c>
      <c r="T11" s="26">
        <f>T10*Assumptions!$B$33*Assumptions!$B$32</f>
        <v>0</v>
      </c>
      <c r="U11" s="26">
        <f>U10*Assumptions!$B$33*Assumptions!$B$32</f>
        <v>0</v>
      </c>
      <c r="V11" s="26">
        <f>V10*Assumptions!$B$33*Assumptions!$B$32</f>
        <v>0</v>
      </c>
      <c r="W11" s="26">
        <f>W10*Assumptions!$B$33*Assumptions!$B$32</f>
        <v>0</v>
      </c>
      <c r="X11" s="26">
        <f>X10*Assumptions!$B$33*Assumptions!$B$32</f>
        <v>0</v>
      </c>
      <c r="Y11" s="26">
        <f>Y10*Assumptions!$B$33*Assumptions!$B$32</f>
        <v>0</v>
      </c>
      <c r="Z11" s="26">
        <f>Z10*Assumptions!$B$33*Assumptions!$B$32</f>
        <v>0</v>
      </c>
      <c r="AA11" s="26">
        <f>AA10*Assumptions!$B$33*Assumptions!$B$32</f>
        <v>0</v>
      </c>
      <c r="AB11" s="26">
        <f>AB10*Assumptions!$B$33*Assumptions!$B$32</f>
        <v>0</v>
      </c>
      <c r="AC11" s="26">
        <f>AC10*Assumptions!$B$33*Assumptions!$B$32</f>
        <v>0</v>
      </c>
      <c r="AD11" s="26">
        <f>AD10*Assumptions!$B$33*Assumptions!$B$32</f>
        <v>0</v>
      </c>
      <c r="AE11" s="26">
        <f>AE10*Assumptions!$B$33*Assumptions!$B$32</f>
        <v>0</v>
      </c>
      <c r="AF11" s="26">
        <f>AF10*Assumptions!$B$33*Assumptions!$B$32</f>
        <v>0</v>
      </c>
      <c r="AG11" s="26">
        <f>AG10*Assumptions!$B$33*Assumptions!$B$32</f>
        <v>0</v>
      </c>
      <c r="AH11" s="26">
        <f>AH10*Assumptions!$B$33*Assumptions!$B$32</f>
        <v>0</v>
      </c>
      <c r="AI11" s="26">
        <f>AI10*Assumptions!$B$33*Assumptions!$B$32</f>
        <v>0</v>
      </c>
      <c r="AJ11" s="26">
        <f>AJ10*Assumptions!$B$33*Assumptions!$B$32</f>
        <v>0</v>
      </c>
      <c r="AK11" s="26">
        <f>AK10*Assumptions!$B$33*Assumptions!$B$32</f>
        <v>0</v>
      </c>
      <c r="AL11" s="26">
        <f>AL10*Assumptions!$B$33*Assumptions!$B$32</f>
        <v>0</v>
      </c>
      <c r="AM11" s="26">
        <f>AM10*Assumptions!$B$33*Assumptions!$B$32</f>
        <v>0</v>
      </c>
      <c r="AN11" s="26">
        <f>AN10*Assumptions!$B$33*Assumptions!$B$32</f>
        <v>0</v>
      </c>
      <c r="AO11" s="26">
        <f>AO10*Assumptions!$B$33*Assumptions!$B$32</f>
        <v>0</v>
      </c>
      <c r="AP11" s="26">
        <f>AP10*Assumptions!$B$33*Assumptions!$B$32</f>
        <v>0</v>
      </c>
      <c r="AQ11" s="26">
        <f>AQ10*Assumptions!$B$33*Assumptions!$B$32</f>
        <v>0</v>
      </c>
    </row>
    <row r="12" spans="1:43" ht="15" customHeight="1" x14ac:dyDescent="0.3">
      <c r="A12" s="3" t="s">
        <v>75</v>
      </c>
      <c r="D12" s="26">
        <f>(D10+D11)*Assumptions!$B$31</f>
        <v>8.4125250000000005</v>
      </c>
      <c r="E12" s="26">
        <f>(E10+E11)*Assumptions!$B$31</f>
        <v>12.6187875</v>
      </c>
      <c r="F12" s="26">
        <f>(F10+F11)*Assumptions!$B$31</f>
        <v>7.0104375000000001</v>
      </c>
      <c r="G12" s="26">
        <f>(G10+G11)*Assumptions!$B$31</f>
        <v>0</v>
      </c>
      <c r="H12" s="26">
        <f>(H10+H11)*Assumptions!$B$31</f>
        <v>0</v>
      </c>
      <c r="I12" s="26">
        <f>(I10+I11)*Assumptions!$B$31</f>
        <v>0</v>
      </c>
      <c r="J12" s="26">
        <f>(J10+J11)*Assumptions!$B$31</f>
        <v>0</v>
      </c>
      <c r="K12" s="26">
        <f>(K10+K11)*Assumptions!$B$31</f>
        <v>0</v>
      </c>
      <c r="L12" s="26">
        <f>(L10+L11)*Assumptions!$B$31</f>
        <v>0</v>
      </c>
      <c r="M12" s="26">
        <f>(M10+M11)*Assumptions!$B$31</f>
        <v>0</v>
      </c>
      <c r="N12" s="26">
        <f>(N10+N11)*Assumptions!$B$31</f>
        <v>0</v>
      </c>
      <c r="O12" s="26">
        <f>(O10+O11)*Assumptions!$B$31</f>
        <v>0</v>
      </c>
      <c r="P12" s="26">
        <f>(P10+P11)*Assumptions!$B$31</f>
        <v>0</v>
      </c>
      <c r="Q12" s="26">
        <f>(Q10+Q11)*Assumptions!$B$31</f>
        <v>0</v>
      </c>
      <c r="R12" s="26">
        <f>(R10+R11)*Assumptions!$B$31</f>
        <v>0</v>
      </c>
      <c r="S12" s="26">
        <f>(S10+S11)*Assumptions!$B$31</f>
        <v>0</v>
      </c>
      <c r="T12" s="26">
        <f>(T10+T11)*Assumptions!$B$31</f>
        <v>0</v>
      </c>
      <c r="U12" s="26">
        <f>(U10+U11)*Assumptions!$B$31</f>
        <v>0</v>
      </c>
      <c r="V12" s="26">
        <f>(V10+V11)*Assumptions!$B$31</f>
        <v>0</v>
      </c>
      <c r="W12" s="26">
        <f>(W10+W11)*Assumptions!$B$31</f>
        <v>0</v>
      </c>
      <c r="X12" s="26">
        <f>(X10+X11)*Assumptions!$B$31</f>
        <v>0</v>
      </c>
      <c r="Y12" s="26">
        <f>(Y10+Y11)*Assumptions!$B$31</f>
        <v>0</v>
      </c>
      <c r="Z12" s="26">
        <f>(Z10+Z11)*Assumptions!$B$31</f>
        <v>0</v>
      </c>
      <c r="AA12" s="26">
        <f>(AA10+AA11)*Assumptions!$B$31</f>
        <v>0</v>
      </c>
      <c r="AB12" s="26">
        <f>(AB10+AB11)*Assumptions!$B$31</f>
        <v>0</v>
      </c>
      <c r="AC12" s="26">
        <f>(AC10+AC11)*Assumptions!$B$31</f>
        <v>0</v>
      </c>
      <c r="AD12" s="26">
        <f>(AD10+AD11)*Assumptions!$B$31</f>
        <v>0</v>
      </c>
      <c r="AE12" s="26">
        <f>(AE10+AE11)*Assumptions!$B$31</f>
        <v>0</v>
      </c>
      <c r="AF12" s="26">
        <f>(AF10+AF11)*Assumptions!$B$31</f>
        <v>0</v>
      </c>
      <c r="AG12" s="26">
        <f>(AG10+AG11)*Assumptions!$B$31</f>
        <v>0</v>
      </c>
      <c r="AH12" s="26">
        <f>(AH10+AH11)*Assumptions!$B$31</f>
        <v>0</v>
      </c>
      <c r="AI12" s="26">
        <f>(AI10+AI11)*Assumptions!$B$31</f>
        <v>0</v>
      </c>
      <c r="AJ12" s="26">
        <f>(AJ10+AJ11)*Assumptions!$B$31</f>
        <v>0</v>
      </c>
      <c r="AK12" s="26">
        <f>(AK10+AK11)*Assumptions!$B$31</f>
        <v>0</v>
      </c>
      <c r="AL12" s="26">
        <f>(AL10+AL11)*Assumptions!$B$31</f>
        <v>0</v>
      </c>
      <c r="AM12" s="26">
        <f>(AM10+AM11)*Assumptions!$B$31</f>
        <v>0</v>
      </c>
      <c r="AN12" s="26">
        <f>(AN10+AN11)*Assumptions!$B$31</f>
        <v>0</v>
      </c>
      <c r="AO12" s="26">
        <f>(AO10+AO11)*Assumptions!$B$31</f>
        <v>0</v>
      </c>
      <c r="AP12" s="26">
        <f>(AP10+AP11)*Assumptions!$B$31</f>
        <v>0</v>
      </c>
      <c r="AQ12" s="26">
        <f>(AQ10+AQ11)*Assumptions!$B$31</f>
        <v>0</v>
      </c>
    </row>
    <row r="13" spans="1:43" ht="15" customHeight="1" x14ac:dyDescent="0.3">
      <c r="A13" s="3" t="s">
        <v>76</v>
      </c>
      <c r="D13" s="26">
        <f>IF(D7=1,Assumptions!$B$20,0)</f>
        <v>8</v>
      </c>
      <c r="E13" s="26">
        <f>IF(E7=1,Assumptions!$B$20,0)</f>
        <v>0</v>
      </c>
      <c r="F13" s="26">
        <f>IF(F7=1,Assumptions!$B$20,0)</f>
        <v>0</v>
      </c>
      <c r="G13" s="26">
        <f>IF(G7=1,Assumptions!$B$20,0)</f>
        <v>0</v>
      </c>
      <c r="H13" s="26">
        <f>IF(H7=1,Assumptions!$B$20,0)</f>
        <v>0</v>
      </c>
      <c r="I13" s="26">
        <f>IF(I7=1,Assumptions!$B$20,0)</f>
        <v>0</v>
      </c>
      <c r="J13" s="26">
        <f>IF(J7=1,Assumptions!$B$20,0)</f>
        <v>0</v>
      </c>
      <c r="K13" s="26">
        <f>IF(K7=1,Assumptions!$B$20,0)</f>
        <v>0</v>
      </c>
      <c r="L13" s="26">
        <f>IF(L7=1,Assumptions!$B$20,0)</f>
        <v>0</v>
      </c>
      <c r="M13" s="26">
        <f>IF(M7=1,Assumptions!$B$20,0)</f>
        <v>0</v>
      </c>
      <c r="N13" s="26">
        <f>IF(N7=1,Assumptions!$B$20,0)</f>
        <v>0</v>
      </c>
      <c r="O13" s="26">
        <f>IF(O7=1,Assumptions!$B$20,0)</f>
        <v>0</v>
      </c>
      <c r="P13" s="26">
        <f>IF(P7=1,Assumptions!$B$20,0)</f>
        <v>0</v>
      </c>
      <c r="Q13" s="26">
        <f>IF(Q7=1,Assumptions!$B$20,0)</f>
        <v>0</v>
      </c>
      <c r="R13" s="26">
        <f>IF(R7=1,Assumptions!$B$20,0)</f>
        <v>0</v>
      </c>
      <c r="S13" s="26">
        <f>IF(S7=1,Assumptions!$B$20,0)</f>
        <v>0</v>
      </c>
      <c r="T13" s="26">
        <f>IF(T7=1,Assumptions!$B$20,0)</f>
        <v>0</v>
      </c>
      <c r="U13" s="26">
        <f>IF(U7=1,Assumptions!$B$20,0)</f>
        <v>0</v>
      </c>
      <c r="V13" s="26">
        <f>IF(V7=1,Assumptions!$B$20,0)</f>
        <v>0</v>
      </c>
      <c r="W13" s="26">
        <f>IF(W7=1,Assumptions!$B$20,0)</f>
        <v>0</v>
      </c>
      <c r="X13" s="26">
        <f>IF(X7=1,Assumptions!$B$20,0)</f>
        <v>0</v>
      </c>
      <c r="Y13" s="26">
        <f>IF(Y7=1,Assumptions!$B$20,0)</f>
        <v>0</v>
      </c>
      <c r="Z13" s="26">
        <f>IF(Z7=1,Assumptions!$B$20,0)</f>
        <v>0</v>
      </c>
      <c r="AA13" s="26">
        <f>IF(AA7=1,Assumptions!$B$20,0)</f>
        <v>0</v>
      </c>
      <c r="AB13" s="26">
        <f>IF(AB7=1,Assumptions!$B$20,0)</f>
        <v>0</v>
      </c>
      <c r="AC13" s="26">
        <f>IF(AC7=1,Assumptions!$B$20,0)</f>
        <v>0</v>
      </c>
      <c r="AD13" s="26">
        <f>IF(AD7=1,Assumptions!$B$20,0)</f>
        <v>0</v>
      </c>
      <c r="AE13" s="26">
        <f>IF(AE7=1,Assumptions!$B$20,0)</f>
        <v>0</v>
      </c>
      <c r="AF13" s="26">
        <f>IF(AF7=1,Assumptions!$B$20,0)</f>
        <v>0</v>
      </c>
      <c r="AG13" s="26">
        <f>IF(AG7=1,Assumptions!$B$20,0)</f>
        <v>0</v>
      </c>
      <c r="AH13" s="26">
        <f>IF(AH7=1,Assumptions!$B$20,0)</f>
        <v>0</v>
      </c>
      <c r="AI13" s="26">
        <f>IF(AI7=1,Assumptions!$B$20,0)</f>
        <v>0</v>
      </c>
      <c r="AJ13" s="26">
        <f>IF(AJ7=1,Assumptions!$B$20,0)</f>
        <v>0</v>
      </c>
      <c r="AK13" s="26">
        <f>IF(AK7=1,Assumptions!$B$20,0)</f>
        <v>0</v>
      </c>
      <c r="AL13" s="26">
        <f>IF(AL7=1,Assumptions!$B$20,0)</f>
        <v>0</v>
      </c>
      <c r="AM13" s="26">
        <f>IF(AM7=1,Assumptions!$B$20,0)</f>
        <v>0</v>
      </c>
      <c r="AN13" s="26">
        <f>IF(AN7=1,Assumptions!$B$20,0)</f>
        <v>0</v>
      </c>
      <c r="AO13" s="26">
        <f>IF(AO7=1,Assumptions!$B$20,0)</f>
        <v>0</v>
      </c>
      <c r="AP13" s="26">
        <f>IF(AP7=1,Assumptions!$B$20,0)</f>
        <v>0</v>
      </c>
      <c r="AQ13" s="26">
        <f>IF(AQ7=1,Assumptions!$B$20,0)</f>
        <v>0</v>
      </c>
    </row>
    <row r="14" spans="1:43" ht="15" customHeight="1" x14ac:dyDescent="0.3">
      <c r="A14" s="3" t="s">
        <v>77</v>
      </c>
      <c r="D14" s="26">
        <f>IF(D7=Assumptions!$B$6,Assumptions!$B$21*Debt!$C$19,0)</f>
        <v>0</v>
      </c>
      <c r="E14" s="26">
        <f>IF(E7=Assumptions!$B$6,Assumptions!$B$21*Debt!$C$19,0)</f>
        <v>0</v>
      </c>
      <c r="F14" s="26">
        <f ca="1">IF(F7=Assumptions!$B$6,Assumptions!$B$21*Debt!$C$19,0)</f>
        <v>2.276113825062847</v>
      </c>
      <c r="G14" s="26">
        <f>IF(G7=Assumptions!$B$6,Assumptions!$B$21*Debt!$C$19,0)</f>
        <v>0</v>
      </c>
      <c r="H14" s="26">
        <f>IF(H7=Assumptions!$B$6,Assumptions!$B$21*Debt!$C$19,0)</f>
        <v>0</v>
      </c>
      <c r="I14" s="26">
        <f>IF(I7=Assumptions!$B$6,Assumptions!$B$21*Debt!$C$19,0)</f>
        <v>0</v>
      </c>
      <c r="J14" s="26">
        <f>IF(J7=Assumptions!$B$6,Assumptions!$B$21*Debt!$C$19,0)</f>
        <v>0</v>
      </c>
      <c r="K14" s="26">
        <f>IF(K7=Assumptions!$B$6,Assumptions!$B$21*Debt!$C$19,0)</f>
        <v>0</v>
      </c>
      <c r="L14" s="26">
        <f>IF(L7=Assumptions!$B$6,Assumptions!$B$21*Debt!$C$19,0)</f>
        <v>0</v>
      </c>
      <c r="M14" s="26">
        <f>IF(M7=Assumptions!$B$6,Assumptions!$B$21*Debt!$C$19,0)</f>
        <v>0</v>
      </c>
      <c r="N14" s="26">
        <f>IF(N7=Assumptions!$B$6,Assumptions!$B$21*Debt!$C$19,0)</f>
        <v>0</v>
      </c>
      <c r="O14" s="26">
        <f>IF(O7=Assumptions!$B$6,Assumptions!$B$21*Debt!$C$19,0)</f>
        <v>0</v>
      </c>
      <c r="P14" s="26">
        <f>IF(P7=Assumptions!$B$6,Assumptions!$B$21*Debt!$C$19,0)</f>
        <v>0</v>
      </c>
      <c r="Q14" s="26">
        <f>IF(Q7=Assumptions!$B$6,Assumptions!$B$21*Debt!$C$19,0)</f>
        <v>0</v>
      </c>
      <c r="R14" s="26">
        <f>IF(R7=Assumptions!$B$6,Assumptions!$B$21*Debt!$C$19,0)</f>
        <v>0</v>
      </c>
      <c r="S14" s="26">
        <f>IF(S7=Assumptions!$B$6,Assumptions!$B$21*Debt!$C$19,0)</f>
        <v>0</v>
      </c>
      <c r="T14" s="26">
        <f>IF(T7=Assumptions!$B$6,Assumptions!$B$21*Debt!$C$19,0)</f>
        <v>0</v>
      </c>
      <c r="U14" s="26">
        <f>IF(U7=Assumptions!$B$6,Assumptions!$B$21*Debt!$C$19,0)</f>
        <v>0</v>
      </c>
      <c r="V14" s="26">
        <f>IF(V7=Assumptions!$B$6,Assumptions!$B$21*Debt!$C$19,0)</f>
        <v>0</v>
      </c>
      <c r="W14" s="26">
        <f>IF(W7=Assumptions!$B$6,Assumptions!$B$21*Debt!$C$19,0)</f>
        <v>0</v>
      </c>
      <c r="X14" s="26">
        <f>IF(X7=Assumptions!$B$6,Assumptions!$B$21*Debt!$C$19,0)</f>
        <v>0</v>
      </c>
      <c r="Y14" s="26">
        <f>IF(Y7=Assumptions!$B$6,Assumptions!$B$21*Debt!$C$19,0)</f>
        <v>0</v>
      </c>
      <c r="Z14" s="26">
        <f>IF(Z7=Assumptions!$B$6,Assumptions!$B$21*Debt!$C$19,0)</f>
        <v>0</v>
      </c>
      <c r="AA14" s="26">
        <f>IF(AA7=Assumptions!$B$6,Assumptions!$B$21*Debt!$C$19,0)</f>
        <v>0</v>
      </c>
      <c r="AB14" s="26">
        <f>IF(AB7=Assumptions!$B$6,Assumptions!$B$21*Debt!$C$19,0)</f>
        <v>0</v>
      </c>
      <c r="AC14" s="26">
        <f>IF(AC7=Assumptions!$B$6,Assumptions!$B$21*Debt!$C$19,0)</f>
        <v>0</v>
      </c>
      <c r="AD14" s="26">
        <f>IF(AD7=Assumptions!$B$6,Assumptions!$B$21*Debt!$C$19,0)</f>
        <v>0</v>
      </c>
      <c r="AE14" s="26">
        <f>IF(AE7=Assumptions!$B$6,Assumptions!$B$21*Debt!$C$19,0)</f>
        <v>0</v>
      </c>
      <c r="AF14" s="26">
        <f>IF(AF7=Assumptions!$B$6,Assumptions!$B$21*Debt!$C$19,0)</f>
        <v>0</v>
      </c>
      <c r="AG14" s="26">
        <f>IF(AG7=Assumptions!$B$6,Assumptions!$B$21*Debt!$C$19,0)</f>
        <v>0</v>
      </c>
      <c r="AH14" s="26">
        <f>IF(AH7=Assumptions!$B$6,Assumptions!$B$21*Debt!$C$19,0)</f>
        <v>0</v>
      </c>
      <c r="AI14" s="26">
        <f>IF(AI7=Assumptions!$B$6,Assumptions!$B$21*Debt!$C$19,0)</f>
        <v>0</v>
      </c>
      <c r="AJ14" s="26">
        <f>IF(AJ7=Assumptions!$B$6,Assumptions!$B$21*Debt!$C$19,0)</f>
        <v>0</v>
      </c>
      <c r="AK14" s="26">
        <f>IF(AK7=Assumptions!$B$6,Assumptions!$B$21*Debt!$C$19,0)</f>
        <v>0</v>
      </c>
      <c r="AL14" s="26">
        <f>IF(AL7=Assumptions!$B$6,Assumptions!$B$21*Debt!$C$19,0)</f>
        <v>0</v>
      </c>
      <c r="AM14" s="26">
        <f>IF(AM7=Assumptions!$B$6,Assumptions!$B$21*Debt!$C$19,0)</f>
        <v>0</v>
      </c>
      <c r="AN14" s="26">
        <f>IF(AN7=Assumptions!$B$6,Assumptions!$B$21*Debt!$C$19,0)</f>
        <v>0</v>
      </c>
      <c r="AO14" s="26">
        <f>IF(AO7=Assumptions!$B$6,Assumptions!$B$21*Debt!$C$19,0)</f>
        <v>0</v>
      </c>
      <c r="AP14" s="26">
        <f>IF(AP7=Assumptions!$B$6,Assumptions!$B$21*Debt!$C$19,0)</f>
        <v>0</v>
      </c>
      <c r="AQ14" s="26">
        <f>IF(AQ7=Assumptions!$B$6,Assumptions!$B$21*Debt!$C$19,0)</f>
        <v>0</v>
      </c>
    </row>
    <row r="15" spans="1:43" ht="15" customHeight="1" x14ac:dyDescent="0.3">
      <c r="A15" s="6" t="s">
        <v>78</v>
      </c>
      <c r="D15" s="12">
        <f t="shared" ref="D15:AQ15" si="0">SUM(D10:D14)</f>
        <v>92.890025000000009</v>
      </c>
      <c r="E15" s="12">
        <f t="shared" si="0"/>
        <v>127.3350375</v>
      </c>
      <c r="F15" s="12">
        <f t="shared" ca="1" si="0"/>
        <v>73.017801325062848</v>
      </c>
      <c r="G15" s="12">
        <f t="shared" si="0"/>
        <v>0</v>
      </c>
      <c r="H15" s="12">
        <f t="shared" si="0"/>
        <v>0</v>
      </c>
      <c r="I15" s="12">
        <f t="shared" si="0"/>
        <v>0</v>
      </c>
      <c r="J15" s="12">
        <f t="shared" si="0"/>
        <v>0</v>
      </c>
      <c r="K15" s="12">
        <f t="shared" si="0"/>
        <v>0</v>
      </c>
      <c r="L15" s="12">
        <f t="shared" si="0"/>
        <v>0</v>
      </c>
      <c r="M15" s="12">
        <f t="shared" si="0"/>
        <v>0</v>
      </c>
      <c r="N15" s="12">
        <f t="shared" si="0"/>
        <v>0</v>
      </c>
      <c r="O15" s="12">
        <f t="shared" si="0"/>
        <v>0</v>
      </c>
      <c r="P15" s="12">
        <f t="shared" si="0"/>
        <v>0</v>
      </c>
      <c r="Q15" s="12">
        <f t="shared" si="0"/>
        <v>0</v>
      </c>
      <c r="R15" s="12">
        <f t="shared" si="0"/>
        <v>0</v>
      </c>
      <c r="S15" s="12">
        <f t="shared" si="0"/>
        <v>0</v>
      </c>
      <c r="T15" s="12">
        <f t="shared" si="0"/>
        <v>0</v>
      </c>
      <c r="U15" s="12">
        <f t="shared" si="0"/>
        <v>0</v>
      </c>
      <c r="V15" s="12">
        <f t="shared" si="0"/>
        <v>0</v>
      </c>
      <c r="W15" s="12">
        <f t="shared" si="0"/>
        <v>0</v>
      </c>
      <c r="X15" s="12">
        <f t="shared" si="0"/>
        <v>0</v>
      </c>
      <c r="Y15" s="12">
        <f t="shared" si="0"/>
        <v>0</v>
      </c>
      <c r="Z15" s="12">
        <f t="shared" si="0"/>
        <v>0</v>
      </c>
      <c r="AA15" s="12">
        <f t="shared" si="0"/>
        <v>0</v>
      </c>
      <c r="AB15" s="12">
        <f t="shared" si="0"/>
        <v>0</v>
      </c>
      <c r="AC15" s="12">
        <f t="shared" si="0"/>
        <v>0</v>
      </c>
      <c r="AD15" s="12">
        <f t="shared" si="0"/>
        <v>0</v>
      </c>
      <c r="AE15" s="12">
        <f t="shared" si="0"/>
        <v>0</v>
      </c>
      <c r="AF15" s="12">
        <f t="shared" si="0"/>
        <v>0</v>
      </c>
      <c r="AG15" s="12">
        <f t="shared" si="0"/>
        <v>0</v>
      </c>
      <c r="AH15" s="12">
        <f t="shared" si="0"/>
        <v>0</v>
      </c>
      <c r="AI15" s="12">
        <f t="shared" si="0"/>
        <v>0</v>
      </c>
      <c r="AJ15" s="12">
        <f t="shared" si="0"/>
        <v>0</v>
      </c>
      <c r="AK15" s="12">
        <f t="shared" si="0"/>
        <v>0</v>
      </c>
      <c r="AL15" s="12">
        <f t="shared" si="0"/>
        <v>0</v>
      </c>
      <c r="AM15" s="12">
        <f t="shared" si="0"/>
        <v>0</v>
      </c>
      <c r="AN15" s="12">
        <f t="shared" si="0"/>
        <v>0</v>
      </c>
      <c r="AO15" s="12">
        <f t="shared" si="0"/>
        <v>0</v>
      </c>
      <c r="AP15" s="12">
        <f t="shared" si="0"/>
        <v>0</v>
      </c>
      <c r="AQ15" s="12">
        <f t="shared" si="0"/>
        <v>0</v>
      </c>
    </row>
    <row r="17" spans="1:43" ht="18" customHeight="1" x14ac:dyDescent="0.3">
      <c r="A17" s="51" t="s">
        <v>79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</row>
    <row r="18" spans="1:43" ht="15" customHeight="1" x14ac:dyDescent="0.3">
      <c r="A18" s="3" t="s">
        <v>80</v>
      </c>
      <c r="D18" s="26">
        <f t="shared" ref="D18:AQ18" ca="1" si="1">D15*$C$32</f>
        <v>48.066704245316437</v>
      </c>
      <c r="E18" s="26">
        <f t="shared" ca="1" si="1"/>
        <v>65.890558082838041</v>
      </c>
      <c r="F18" s="26">
        <f t="shared" ca="1" si="1"/>
        <v>37.783659342701981</v>
      </c>
      <c r="G18" s="26">
        <f t="shared" ca="1" si="1"/>
        <v>0</v>
      </c>
      <c r="H18" s="26">
        <f t="shared" ca="1" si="1"/>
        <v>0</v>
      </c>
      <c r="I18" s="26">
        <f t="shared" ca="1" si="1"/>
        <v>0</v>
      </c>
      <c r="J18" s="26">
        <f t="shared" ca="1" si="1"/>
        <v>0</v>
      </c>
      <c r="K18" s="26">
        <f t="shared" ca="1" si="1"/>
        <v>0</v>
      </c>
      <c r="L18" s="26">
        <f t="shared" ca="1" si="1"/>
        <v>0</v>
      </c>
      <c r="M18" s="26">
        <f t="shared" ca="1" si="1"/>
        <v>0</v>
      </c>
      <c r="N18" s="26">
        <f t="shared" ca="1" si="1"/>
        <v>0</v>
      </c>
      <c r="O18" s="26">
        <f t="shared" ca="1" si="1"/>
        <v>0</v>
      </c>
      <c r="P18" s="26">
        <f t="shared" ca="1" si="1"/>
        <v>0</v>
      </c>
      <c r="Q18" s="26">
        <f t="shared" ca="1" si="1"/>
        <v>0</v>
      </c>
      <c r="R18" s="26">
        <f t="shared" ca="1" si="1"/>
        <v>0</v>
      </c>
      <c r="S18" s="26">
        <f t="shared" ca="1" si="1"/>
        <v>0</v>
      </c>
      <c r="T18" s="26">
        <f t="shared" ca="1" si="1"/>
        <v>0</v>
      </c>
      <c r="U18" s="26">
        <f t="shared" ca="1" si="1"/>
        <v>0</v>
      </c>
      <c r="V18" s="26">
        <f t="shared" ca="1" si="1"/>
        <v>0</v>
      </c>
      <c r="W18" s="26">
        <f t="shared" ca="1" si="1"/>
        <v>0</v>
      </c>
      <c r="X18" s="26">
        <f t="shared" ca="1" si="1"/>
        <v>0</v>
      </c>
      <c r="Y18" s="26">
        <f t="shared" ca="1" si="1"/>
        <v>0</v>
      </c>
      <c r="Z18" s="26">
        <f t="shared" ca="1" si="1"/>
        <v>0</v>
      </c>
      <c r="AA18" s="26">
        <f t="shared" ca="1" si="1"/>
        <v>0</v>
      </c>
      <c r="AB18" s="26">
        <f t="shared" ca="1" si="1"/>
        <v>0</v>
      </c>
      <c r="AC18" s="26">
        <f t="shared" ca="1" si="1"/>
        <v>0</v>
      </c>
      <c r="AD18" s="26">
        <f t="shared" ca="1" si="1"/>
        <v>0</v>
      </c>
      <c r="AE18" s="26">
        <f t="shared" ca="1" si="1"/>
        <v>0</v>
      </c>
      <c r="AF18" s="26">
        <f t="shared" ca="1" si="1"/>
        <v>0</v>
      </c>
      <c r="AG18" s="26">
        <f t="shared" ca="1" si="1"/>
        <v>0</v>
      </c>
      <c r="AH18" s="26">
        <f t="shared" ca="1" si="1"/>
        <v>0</v>
      </c>
      <c r="AI18" s="26">
        <f t="shared" ca="1" si="1"/>
        <v>0</v>
      </c>
      <c r="AJ18" s="26">
        <f t="shared" ca="1" si="1"/>
        <v>0</v>
      </c>
      <c r="AK18" s="26">
        <f t="shared" ca="1" si="1"/>
        <v>0</v>
      </c>
      <c r="AL18" s="26">
        <f t="shared" ca="1" si="1"/>
        <v>0</v>
      </c>
      <c r="AM18" s="26">
        <f t="shared" ca="1" si="1"/>
        <v>0</v>
      </c>
      <c r="AN18" s="26">
        <f t="shared" ca="1" si="1"/>
        <v>0</v>
      </c>
      <c r="AO18" s="26">
        <f t="shared" ca="1" si="1"/>
        <v>0</v>
      </c>
      <c r="AP18" s="26">
        <f t="shared" ca="1" si="1"/>
        <v>0</v>
      </c>
      <c r="AQ18" s="26">
        <f t="shared" ca="1" si="1"/>
        <v>0</v>
      </c>
    </row>
    <row r="19" spans="1:43" ht="15" customHeight="1" x14ac:dyDescent="0.3">
      <c r="A19" s="3" t="s">
        <v>81</v>
      </c>
      <c r="D19" s="26">
        <f t="shared" ref="D19:AQ19" ca="1" si="2">D15-D18</f>
        <v>44.823320754683571</v>
      </c>
      <c r="E19" s="26">
        <f t="shared" ca="1" si="2"/>
        <v>61.444479417161958</v>
      </c>
      <c r="F19" s="26">
        <f t="shared" ca="1" si="2"/>
        <v>35.234141982360867</v>
      </c>
      <c r="G19" s="26">
        <f t="shared" ca="1" si="2"/>
        <v>0</v>
      </c>
      <c r="H19" s="26">
        <f t="shared" ca="1" si="2"/>
        <v>0</v>
      </c>
      <c r="I19" s="26">
        <f t="shared" ca="1" si="2"/>
        <v>0</v>
      </c>
      <c r="J19" s="26">
        <f t="shared" ca="1" si="2"/>
        <v>0</v>
      </c>
      <c r="K19" s="26">
        <f t="shared" ca="1" si="2"/>
        <v>0</v>
      </c>
      <c r="L19" s="26">
        <f t="shared" ca="1" si="2"/>
        <v>0</v>
      </c>
      <c r="M19" s="26">
        <f t="shared" ca="1" si="2"/>
        <v>0</v>
      </c>
      <c r="N19" s="26">
        <f t="shared" ca="1" si="2"/>
        <v>0</v>
      </c>
      <c r="O19" s="26">
        <f t="shared" ca="1" si="2"/>
        <v>0</v>
      </c>
      <c r="P19" s="26">
        <f t="shared" ca="1" si="2"/>
        <v>0</v>
      </c>
      <c r="Q19" s="26">
        <f t="shared" ca="1" si="2"/>
        <v>0</v>
      </c>
      <c r="R19" s="26">
        <f t="shared" ca="1" si="2"/>
        <v>0</v>
      </c>
      <c r="S19" s="26">
        <f t="shared" ca="1" si="2"/>
        <v>0</v>
      </c>
      <c r="T19" s="26">
        <f t="shared" ca="1" si="2"/>
        <v>0</v>
      </c>
      <c r="U19" s="26">
        <f t="shared" ca="1" si="2"/>
        <v>0</v>
      </c>
      <c r="V19" s="26">
        <f t="shared" ca="1" si="2"/>
        <v>0</v>
      </c>
      <c r="W19" s="26">
        <f t="shared" ca="1" si="2"/>
        <v>0</v>
      </c>
      <c r="X19" s="26">
        <f t="shared" ca="1" si="2"/>
        <v>0</v>
      </c>
      <c r="Y19" s="26">
        <f t="shared" ca="1" si="2"/>
        <v>0</v>
      </c>
      <c r="Z19" s="26">
        <f t="shared" ca="1" si="2"/>
        <v>0</v>
      </c>
      <c r="AA19" s="26">
        <f t="shared" ca="1" si="2"/>
        <v>0</v>
      </c>
      <c r="AB19" s="26">
        <f t="shared" ca="1" si="2"/>
        <v>0</v>
      </c>
      <c r="AC19" s="26">
        <f t="shared" ca="1" si="2"/>
        <v>0</v>
      </c>
      <c r="AD19" s="26">
        <f t="shared" ca="1" si="2"/>
        <v>0</v>
      </c>
      <c r="AE19" s="26">
        <f t="shared" ca="1" si="2"/>
        <v>0</v>
      </c>
      <c r="AF19" s="26">
        <f t="shared" ca="1" si="2"/>
        <v>0</v>
      </c>
      <c r="AG19" s="26">
        <f t="shared" ca="1" si="2"/>
        <v>0</v>
      </c>
      <c r="AH19" s="26">
        <f t="shared" ca="1" si="2"/>
        <v>0</v>
      </c>
      <c r="AI19" s="26">
        <f t="shared" ca="1" si="2"/>
        <v>0</v>
      </c>
      <c r="AJ19" s="26">
        <f t="shared" ca="1" si="2"/>
        <v>0</v>
      </c>
      <c r="AK19" s="26">
        <f t="shared" ca="1" si="2"/>
        <v>0</v>
      </c>
      <c r="AL19" s="26">
        <f t="shared" ca="1" si="2"/>
        <v>0</v>
      </c>
      <c r="AM19" s="26">
        <f t="shared" ca="1" si="2"/>
        <v>0</v>
      </c>
      <c r="AN19" s="26">
        <f t="shared" ca="1" si="2"/>
        <v>0</v>
      </c>
      <c r="AO19" s="26">
        <f t="shared" ca="1" si="2"/>
        <v>0</v>
      </c>
      <c r="AP19" s="26">
        <f t="shared" ca="1" si="2"/>
        <v>0</v>
      </c>
      <c r="AQ19" s="26">
        <f t="shared" ca="1" si="2"/>
        <v>0</v>
      </c>
    </row>
    <row r="20" spans="1:43" ht="15" customHeight="1" x14ac:dyDescent="0.3">
      <c r="A20" s="6" t="s">
        <v>82</v>
      </c>
      <c r="D20" s="12">
        <f t="shared" ref="D20:AQ20" ca="1" si="3">D18+D19</f>
        <v>92.890025000000009</v>
      </c>
      <c r="E20" s="12">
        <f t="shared" ca="1" si="3"/>
        <v>127.3350375</v>
      </c>
      <c r="F20" s="12">
        <f t="shared" ca="1" si="3"/>
        <v>73.017801325062848</v>
      </c>
      <c r="G20" s="12">
        <f t="shared" ca="1" si="3"/>
        <v>0</v>
      </c>
      <c r="H20" s="12">
        <f t="shared" ca="1" si="3"/>
        <v>0</v>
      </c>
      <c r="I20" s="12">
        <f t="shared" ca="1" si="3"/>
        <v>0</v>
      </c>
      <c r="J20" s="12">
        <f t="shared" ca="1" si="3"/>
        <v>0</v>
      </c>
      <c r="K20" s="12">
        <f t="shared" ca="1" si="3"/>
        <v>0</v>
      </c>
      <c r="L20" s="12">
        <f t="shared" ca="1" si="3"/>
        <v>0</v>
      </c>
      <c r="M20" s="12">
        <f t="shared" ca="1" si="3"/>
        <v>0</v>
      </c>
      <c r="N20" s="12">
        <f t="shared" ca="1" si="3"/>
        <v>0</v>
      </c>
      <c r="O20" s="12">
        <f t="shared" ca="1" si="3"/>
        <v>0</v>
      </c>
      <c r="P20" s="12">
        <f t="shared" ca="1" si="3"/>
        <v>0</v>
      </c>
      <c r="Q20" s="12">
        <f t="shared" ca="1" si="3"/>
        <v>0</v>
      </c>
      <c r="R20" s="12">
        <f t="shared" ca="1" si="3"/>
        <v>0</v>
      </c>
      <c r="S20" s="12">
        <f t="shared" ca="1" si="3"/>
        <v>0</v>
      </c>
      <c r="T20" s="12">
        <f t="shared" ca="1" si="3"/>
        <v>0</v>
      </c>
      <c r="U20" s="12">
        <f t="shared" ca="1" si="3"/>
        <v>0</v>
      </c>
      <c r="V20" s="12">
        <f t="shared" ca="1" si="3"/>
        <v>0</v>
      </c>
      <c r="W20" s="12">
        <f t="shared" ca="1" si="3"/>
        <v>0</v>
      </c>
      <c r="X20" s="12">
        <f t="shared" ca="1" si="3"/>
        <v>0</v>
      </c>
      <c r="Y20" s="12">
        <f t="shared" ca="1" si="3"/>
        <v>0</v>
      </c>
      <c r="Z20" s="12">
        <f t="shared" ca="1" si="3"/>
        <v>0</v>
      </c>
      <c r="AA20" s="12">
        <f t="shared" ca="1" si="3"/>
        <v>0</v>
      </c>
      <c r="AB20" s="12">
        <f t="shared" ca="1" si="3"/>
        <v>0</v>
      </c>
      <c r="AC20" s="12">
        <f t="shared" ca="1" si="3"/>
        <v>0</v>
      </c>
      <c r="AD20" s="12">
        <f t="shared" ca="1" si="3"/>
        <v>0</v>
      </c>
      <c r="AE20" s="12">
        <f t="shared" ca="1" si="3"/>
        <v>0</v>
      </c>
      <c r="AF20" s="12">
        <f t="shared" ca="1" si="3"/>
        <v>0</v>
      </c>
      <c r="AG20" s="12">
        <f t="shared" ca="1" si="3"/>
        <v>0</v>
      </c>
      <c r="AH20" s="12">
        <f t="shared" ca="1" si="3"/>
        <v>0</v>
      </c>
      <c r="AI20" s="12">
        <f t="shared" ca="1" si="3"/>
        <v>0</v>
      </c>
      <c r="AJ20" s="12">
        <f t="shared" ca="1" si="3"/>
        <v>0</v>
      </c>
      <c r="AK20" s="12">
        <f t="shared" ca="1" si="3"/>
        <v>0</v>
      </c>
      <c r="AL20" s="12">
        <f t="shared" ca="1" si="3"/>
        <v>0</v>
      </c>
      <c r="AM20" s="12">
        <f t="shared" ca="1" si="3"/>
        <v>0</v>
      </c>
      <c r="AN20" s="12">
        <f t="shared" ca="1" si="3"/>
        <v>0</v>
      </c>
      <c r="AO20" s="12">
        <f t="shared" ca="1" si="3"/>
        <v>0</v>
      </c>
      <c r="AP20" s="12">
        <f t="shared" ca="1" si="3"/>
        <v>0</v>
      </c>
      <c r="AQ20" s="12">
        <f t="shared" ca="1" si="3"/>
        <v>0</v>
      </c>
    </row>
    <row r="21" spans="1:43" ht="15" customHeight="1" x14ac:dyDescent="0.3">
      <c r="A21" s="3" t="s">
        <v>83</v>
      </c>
      <c r="D21" s="26">
        <f t="shared" ref="D21:AQ21" ca="1" si="4">D20-D15</f>
        <v>0</v>
      </c>
      <c r="E21" s="26">
        <f t="shared" ca="1" si="4"/>
        <v>0</v>
      </c>
      <c r="F21" s="26">
        <f t="shared" ca="1" si="4"/>
        <v>0</v>
      </c>
      <c r="G21" s="26">
        <f t="shared" ca="1" si="4"/>
        <v>0</v>
      </c>
      <c r="H21" s="26">
        <f t="shared" ca="1" si="4"/>
        <v>0</v>
      </c>
      <c r="I21" s="26">
        <f t="shared" ca="1" si="4"/>
        <v>0</v>
      </c>
      <c r="J21" s="26">
        <f t="shared" ca="1" si="4"/>
        <v>0</v>
      </c>
      <c r="K21" s="26">
        <f t="shared" ca="1" si="4"/>
        <v>0</v>
      </c>
      <c r="L21" s="26">
        <f t="shared" ca="1" si="4"/>
        <v>0</v>
      </c>
      <c r="M21" s="26">
        <f t="shared" ca="1" si="4"/>
        <v>0</v>
      </c>
      <c r="N21" s="26">
        <f t="shared" ca="1" si="4"/>
        <v>0</v>
      </c>
      <c r="O21" s="26">
        <f t="shared" ca="1" si="4"/>
        <v>0</v>
      </c>
      <c r="P21" s="26">
        <f t="shared" ca="1" si="4"/>
        <v>0</v>
      </c>
      <c r="Q21" s="26">
        <f t="shared" ca="1" si="4"/>
        <v>0</v>
      </c>
      <c r="R21" s="26">
        <f t="shared" ca="1" si="4"/>
        <v>0</v>
      </c>
      <c r="S21" s="26">
        <f t="shared" ca="1" si="4"/>
        <v>0</v>
      </c>
      <c r="T21" s="26">
        <f t="shared" ca="1" si="4"/>
        <v>0</v>
      </c>
      <c r="U21" s="26">
        <f t="shared" ca="1" si="4"/>
        <v>0</v>
      </c>
      <c r="V21" s="26">
        <f t="shared" ca="1" si="4"/>
        <v>0</v>
      </c>
      <c r="W21" s="26">
        <f t="shared" ca="1" si="4"/>
        <v>0</v>
      </c>
      <c r="X21" s="26">
        <f t="shared" ca="1" si="4"/>
        <v>0</v>
      </c>
      <c r="Y21" s="26">
        <f t="shared" ca="1" si="4"/>
        <v>0</v>
      </c>
      <c r="Z21" s="26">
        <f t="shared" ca="1" si="4"/>
        <v>0</v>
      </c>
      <c r="AA21" s="26">
        <f t="shared" ca="1" si="4"/>
        <v>0</v>
      </c>
      <c r="AB21" s="26">
        <f t="shared" ca="1" si="4"/>
        <v>0</v>
      </c>
      <c r="AC21" s="26">
        <f t="shared" ca="1" si="4"/>
        <v>0</v>
      </c>
      <c r="AD21" s="26">
        <f t="shared" ca="1" si="4"/>
        <v>0</v>
      </c>
      <c r="AE21" s="26">
        <f t="shared" ca="1" si="4"/>
        <v>0</v>
      </c>
      <c r="AF21" s="26">
        <f t="shared" ca="1" si="4"/>
        <v>0</v>
      </c>
      <c r="AG21" s="26">
        <f t="shared" ca="1" si="4"/>
        <v>0</v>
      </c>
      <c r="AH21" s="26">
        <f t="shared" ca="1" si="4"/>
        <v>0</v>
      </c>
      <c r="AI21" s="26">
        <f t="shared" ca="1" si="4"/>
        <v>0</v>
      </c>
      <c r="AJ21" s="26">
        <f t="shared" ca="1" si="4"/>
        <v>0</v>
      </c>
      <c r="AK21" s="26">
        <f t="shared" ca="1" si="4"/>
        <v>0</v>
      </c>
      <c r="AL21" s="26">
        <f t="shared" ca="1" si="4"/>
        <v>0</v>
      </c>
      <c r="AM21" s="26">
        <f t="shared" ca="1" si="4"/>
        <v>0</v>
      </c>
      <c r="AN21" s="26">
        <f t="shared" ca="1" si="4"/>
        <v>0</v>
      </c>
      <c r="AO21" s="26">
        <f t="shared" ca="1" si="4"/>
        <v>0</v>
      </c>
      <c r="AP21" s="26">
        <f t="shared" ca="1" si="4"/>
        <v>0</v>
      </c>
      <c r="AQ21" s="26">
        <f t="shared" ca="1" si="4"/>
        <v>0</v>
      </c>
    </row>
    <row r="23" spans="1:43" ht="18" customHeight="1" x14ac:dyDescent="0.3">
      <c r="A23" s="51" t="s">
        <v>84</v>
      </c>
      <c r="B23" s="51"/>
      <c r="C23" s="51"/>
    </row>
    <row r="24" spans="1:43" ht="15" customHeight="1" x14ac:dyDescent="0.3">
      <c r="A24" s="3" t="s">
        <v>85</v>
      </c>
      <c r="C24" s="26">
        <f t="shared" ref="C24:C29" si="5">SUM(D10:AQ10)</f>
        <v>247.5</v>
      </c>
    </row>
    <row r="25" spans="1:43" ht="15" customHeight="1" x14ac:dyDescent="0.3">
      <c r="A25" s="3" t="s">
        <v>86</v>
      </c>
      <c r="C25" s="26">
        <f t="shared" si="5"/>
        <v>7.4250000000000007</v>
      </c>
    </row>
    <row r="26" spans="1:43" ht="15" customHeight="1" x14ac:dyDescent="0.3">
      <c r="A26" s="3" t="s">
        <v>87</v>
      </c>
      <c r="C26" s="26">
        <f t="shared" si="5"/>
        <v>28.04175</v>
      </c>
    </row>
    <row r="27" spans="1:43" ht="15" customHeight="1" x14ac:dyDescent="0.3">
      <c r="A27" s="3" t="s">
        <v>88</v>
      </c>
      <c r="C27" s="26">
        <f t="shared" si="5"/>
        <v>8</v>
      </c>
    </row>
    <row r="28" spans="1:43" ht="15" customHeight="1" x14ac:dyDescent="0.3">
      <c r="A28" s="3" t="s">
        <v>89</v>
      </c>
      <c r="C28" s="26">
        <f t="shared" ca="1" si="5"/>
        <v>2.276113825062847</v>
      </c>
    </row>
    <row r="29" spans="1:43" ht="15" customHeight="1" x14ac:dyDescent="0.3">
      <c r="A29" s="6" t="s">
        <v>90</v>
      </c>
      <c r="C29" s="12">
        <f t="shared" ca="1" si="5"/>
        <v>293.24286382506284</v>
      </c>
    </row>
    <row r="31" spans="1:43" ht="15" customHeight="1" x14ac:dyDescent="0.3">
      <c r="A31" s="3" t="s">
        <v>91</v>
      </c>
      <c r="C31" s="27">
        <f ca="1">Debt!$C$19</f>
        <v>151.74092167085647</v>
      </c>
    </row>
    <row r="32" spans="1:43" ht="15" customHeight="1" x14ac:dyDescent="0.3">
      <c r="A32" s="6" t="s">
        <v>92</v>
      </c>
      <c r="C32" s="16">
        <f ca="1">C31/C29</f>
        <v>0.51745819042805119</v>
      </c>
    </row>
    <row r="33" spans="1:3" ht="15" customHeight="1" x14ac:dyDescent="0.3">
      <c r="A33" s="6" t="s">
        <v>93</v>
      </c>
      <c r="C33" s="12">
        <f ca="1">C29-C31</f>
        <v>141.50194215420638</v>
      </c>
    </row>
    <row r="34" spans="1:3" ht="15" customHeight="1" x14ac:dyDescent="0.3">
      <c r="A34" s="3" t="s">
        <v>94</v>
      </c>
      <c r="C34" s="25">
        <f ca="1">C33/C29</f>
        <v>0.48254180957194875</v>
      </c>
    </row>
  </sheetData>
  <mergeCells count="3">
    <mergeCell ref="A8:AQ8"/>
    <mergeCell ref="A17:AQ17"/>
    <mergeCell ref="A23:C23"/>
  </mergeCells>
  <conditionalFormatting sqref="D21:AQ21">
    <cfRule type="cellIs" dxfId="3" priority="2" operator="notBetween">
      <formula>-0.01</formula>
      <formula>0.01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A87"/>
  </sheetPr>
  <dimension ref="A1:AQ1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34" customWidth="1"/>
    <col min="2" max="3" width="12" customWidth="1"/>
    <col min="4" max="43" width="10.5546875" customWidth="1"/>
  </cols>
  <sheetData>
    <row r="1" spans="1:43" ht="19.5" customHeight="1" x14ac:dyDescent="0.4">
      <c r="A1" s="1" t="s">
        <v>95</v>
      </c>
    </row>
    <row r="2" spans="1:43" ht="15" customHeight="1" x14ac:dyDescent="0.3">
      <c r="A2" s="2" t="s">
        <v>96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8" spans="1:43" ht="18" customHeight="1" x14ac:dyDescent="0.3">
      <c r="A8" s="51" t="s">
        <v>97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spans="1:43" ht="15" customHeight="1" x14ac:dyDescent="0.3">
      <c r="A9" s="3" t="s">
        <v>98</v>
      </c>
      <c r="D9" s="28">
        <f>IF(D6&lt;&gt;"",Assumptions!$B$15,0)</f>
        <v>0</v>
      </c>
      <c r="E9" s="28">
        <f>IF(E6&lt;&gt;"",Assumptions!$B$15,0)</f>
        <v>0</v>
      </c>
      <c r="F9" s="28">
        <f>IF(F6&lt;&gt;"",Assumptions!$B$15,0)</f>
        <v>0</v>
      </c>
      <c r="G9" s="28">
        <f>IF(G6&lt;&gt;"",Assumptions!$B$15,0)</f>
        <v>433.62</v>
      </c>
      <c r="H9" s="28">
        <f>IF(H6&lt;&gt;"",Assumptions!$B$15,0)</f>
        <v>433.62</v>
      </c>
      <c r="I9" s="28">
        <f>IF(I6&lt;&gt;"",Assumptions!$B$15,0)</f>
        <v>433.62</v>
      </c>
      <c r="J9" s="28">
        <f>IF(J6&lt;&gt;"",Assumptions!$B$15,0)</f>
        <v>433.62</v>
      </c>
      <c r="K9" s="28">
        <f>IF(K6&lt;&gt;"",Assumptions!$B$15,0)</f>
        <v>433.62</v>
      </c>
      <c r="L9" s="28">
        <f>IF(L6&lt;&gt;"",Assumptions!$B$15,0)</f>
        <v>433.62</v>
      </c>
      <c r="M9" s="28">
        <f>IF(M6&lt;&gt;"",Assumptions!$B$15,0)</f>
        <v>433.62</v>
      </c>
      <c r="N9" s="28">
        <f>IF(N6&lt;&gt;"",Assumptions!$B$15,0)</f>
        <v>433.62</v>
      </c>
      <c r="O9" s="28">
        <f>IF(O6&lt;&gt;"",Assumptions!$B$15,0)</f>
        <v>433.62</v>
      </c>
      <c r="P9" s="28">
        <f>IF(P6&lt;&gt;"",Assumptions!$B$15,0)</f>
        <v>433.62</v>
      </c>
      <c r="Q9" s="28">
        <f>IF(Q6&lt;&gt;"",Assumptions!$B$15,0)</f>
        <v>433.62</v>
      </c>
      <c r="R9" s="28">
        <f>IF(R6&lt;&gt;"",Assumptions!$B$15,0)</f>
        <v>433.62</v>
      </c>
      <c r="S9" s="28">
        <f>IF(S6&lt;&gt;"",Assumptions!$B$15,0)</f>
        <v>433.62</v>
      </c>
      <c r="T9" s="28">
        <f>IF(T6&lt;&gt;"",Assumptions!$B$15,0)</f>
        <v>433.62</v>
      </c>
      <c r="U9" s="28">
        <f>IF(U6&lt;&gt;"",Assumptions!$B$15,0)</f>
        <v>433.62</v>
      </c>
      <c r="V9" s="28">
        <f>IF(V6&lt;&gt;"",Assumptions!$B$15,0)</f>
        <v>433.62</v>
      </c>
      <c r="W9" s="28">
        <f>IF(W6&lt;&gt;"",Assumptions!$B$15,0)</f>
        <v>433.62</v>
      </c>
      <c r="X9" s="28">
        <f>IF(X6&lt;&gt;"",Assumptions!$B$15,0)</f>
        <v>433.62</v>
      </c>
      <c r="Y9" s="28">
        <f>IF(Y6&lt;&gt;"",Assumptions!$B$15,0)</f>
        <v>433.62</v>
      </c>
      <c r="Z9" s="28">
        <f>IF(Z6&lt;&gt;"",Assumptions!$B$15,0)</f>
        <v>433.62</v>
      </c>
      <c r="AA9" s="28">
        <f>IF(AA6&lt;&gt;"",Assumptions!$B$15,0)</f>
        <v>433.62</v>
      </c>
      <c r="AB9" s="28">
        <f>IF(AB6&lt;&gt;"",Assumptions!$B$15,0)</f>
        <v>433.62</v>
      </c>
      <c r="AC9" s="28">
        <f>IF(AC6&lt;&gt;"",Assumptions!$B$15,0)</f>
        <v>433.62</v>
      </c>
      <c r="AD9" s="28">
        <f>IF(AD6&lt;&gt;"",Assumptions!$B$15,0)</f>
        <v>433.62</v>
      </c>
      <c r="AE9" s="28">
        <f>IF(AE6&lt;&gt;"",Assumptions!$B$15,0)</f>
        <v>433.62</v>
      </c>
      <c r="AF9" s="28">
        <f>IF(AF6&lt;&gt;"",Assumptions!$B$15,0)</f>
        <v>433.62</v>
      </c>
      <c r="AG9" s="28">
        <f>IF(AG6&lt;&gt;"",Assumptions!$B$15,0)</f>
        <v>433.62</v>
      </c>
      <c r="AH9" s="28">
        <f>IF(AH6&lt;&gt;"",Assumptions!$B$15,0)</f>
        <v>433.62</v>
      </c>
      <c r="AI9" s="28">
        <f>IF(AI6&lt;&gt;"",Assumptions!$B$15,0)</f>
        <v>433.62</v>
      </c>
      <c r="AJ9" s="28">
        <f>IF(AJ6&lt;&gt;"",Assumptions!$B$15,0)</f>
        <v>433.62</v>
      </c>
      <c r="AK9" s="28">
        <f>IF(AK6&lt;&gt;"",Assumptions!$B$15,0)</f>
        <v>0</v>
      </c>
      <c r="AL9" s="28">
        <f>IF(AL6&lt;&gt;"",Assumptions!$B$15,0)</f>
        <v>0</v>
      </c>
      <c r="AM9" s="28">
        <f>IF(AM6&lt;&gt;"",Assumptions!$B$15,0)</f>
        <v>0</v>
      </c>
      <c r="AN9" s="28">
        <f>IF(AN6&lt;&gt;"",Assumptions!$B$15,0)</f>
        <v>0</v>
      </c>
      <c r="AO9" s="28">
        <f>IF(AO6&lt;&gt;"",Assumptions!$B$15,0)</f>
        <v>0</v>
      </c>
      <c r="AP9" s="28">
        <f>IF(AP6&lt;&gt;"",Assumptions!$B$15,0)</f>
        <v>0</v>
      </c>
      <c r="AQ9" s="28">
        <f>IF(AQ6&lt;&gt;"",Assumptions!$B$15,0)</f>
        <v>0</v>
      </c>
    </row>
    <row r="10" spans="1:43" ht="15" customHeight="1" x14ac:dyDescent="0.3">
      <c r="A10" s="3" t="s">
        <v>65</v>
      </c>
      <c r="D10" s="29">
        <f>Assumptions!D71</f>
        <v>0</v>
      </c>
      <c r="E10" s="29">
        <f>Assumptions!E71</f>
        <v>0</v>
      </c>
      <c r="F10" s="29">
        <f>Assumptions!F71</f>
        <v>0</v>
      </c>
      <c r="G10" s="29">
        <f>Assumptions!G71</f>
        <v>1</v>
      </c>
      <c r="H10" s="29">
        <f>Assumptions!H71</f>
        <v>1</v>
      </c>
      <c r="I10" s="29">
        <f>Assumptions!I71</f>
        <v>1</v>
      </c>
      <c r="J10" s="29">
        <f>Assumptions!J71</f>
        <v>1</v>
      </c>
      <c r="K10" s="29">
        <f>Assumptions!K71</f>
        <v>1</v>
      </c>
      <c r="L10" s="29">
        <f>Assumptions!L71</f>
        <v>1</v>
      </c>
      <c r="M10" s="29">
        <f>Assumptions!M71</f>
        <v>1</v>
      </c>
      <c r="N10" s="29">
        <f>Assumptions!N71</f>
        <v>1</v>
      </c>
      <c r="O10" s="29">
        <f>Assumptions!O71</f>
        <v>1</v>
      </c>
      <c r="P10" s="29">
        <f>Assumptions!P71</f>
        <v>1</v>
      </c>
      <c r="Q10" s="29">
        <f>Assumptions!Q71</f>
        <v>1</v>
      </c>
      <c r="R10" s="29">
        <f>Assumptions!R71</f>
        <v>1</v>
      </c>
      <c r="S10" s="29">
        <f>Assumptions!S71</f>
        <v>1</v>
      </c>
      <c r="T10" s="29">
        <f>Assumptions!T71</f>
        <v>1</v>
      </c>
      <c r="U10" s="29">
        <f>Assumptions!U71</f>
        <v>1</v>
      </c>
      <c r="V10" s="29">
        <f>Assumptions!V71</f>
        <v>1</v>
      </c>
      <c r="W10" s="29">
        <f>Assumptions!W71</f>
        <v>1</v>
      </c>
      <c r="X10" s="29">
        <f>Assumptions!X71</f>
        <v>1</v>
      </c>
      <c r="Y10" s="29">
        <f>Assumptions!Y71</f>
        <v>1</v>
      </c>
      <c r="Z10" s="29">
        <f>Assumptions!Z71</f>
        <v>1</v>
      </c>
      <c r="AA10" s="29">
        <f>Assumptions!AA71</f>
        <v>1</v>
      </c>
      <c r="AB10" s="29">
        <f>Assumptions!AB71</f>
        <v>1</v>
      </c>
      <c r="AC10" s="29">
        <f>Assumptions!AC71</f>
        <v>1</v>
      </c>
      <c r="AD10" s="29">
        <f>Assumptions!AD71</f>
        <v>1</v>
      </c>
      <c r="AE10" s="29">
        <f>Assumptions!AE71</f>
        <v>1</v>
      </c>
      <c r="AF10" s="29">
        <f>Assumptions!AF71</f>
        <v>1</v>
      </c>
      <c r="AG10" s="29">
        <f>Assumptions!AG71</f>
        <v>1</v>
      </c>
      <c r="AH10" s="29">
        <f>Assumptions!AH71</f>
        <v>1</v>
      </c>
      <c r="AI10" s="29">
        <f>Assumptions!AI71</f>
        <v>1</v>
      </c>
      <c r="AJ10" s="29">
        <f>Assumptions!AJ71</f>
        <v>1</v>
      </c>
      <c r="AK10" s="29">
        <f>Assumptions!AK71</f>
        <v>0</v>
      </c>
      <c r="AL10" s="29">
        <f>Assumptions!AL71</f>
        <v>0</v>
      </c>
      <c r="AM10" s="29">
        <f>Assumptions!AM71</f>
        <v>0</v>
      </c>
      <c r="AN10" s="29">
        <f>Assumptions!AN71</f>
        <v>0</v>
      </c>
      <c r="AO10" s="29">
        <f>Assumptions!AO71</f>
        <v>0</v>
      </c>
      <c r="AP10" s="29">
        <f>Assumptions!AP71</f>
        <v>0</v>
      </c>
      <c r="AQ10" s="29">
        <f>Assumptions!AQ71</f>
        <v>0</v>
      </c>
    </row>
    <row r="11" spans="1:43" ht="15" customHeight="1" x14ac:dyDescent="0.3">
      <c r="A11" s="3" t="s">
        <v>99</v>
      </c>
      <c r="D11" s="30">
        <f>IF(D6="",0,IF(Assumptions!$B$48="Escalated",Assumptions!$B$46*(1+Assumptions!$B$47)^MAX(D6-Assumptions!$B$49,0),Assumptions!$B$46))</f>
        <v>0</v>
      </c>
      <c r="E11" s="30">
        <f>IF(E6="",0,IF(Assumptions!$B$48="Escalated",Assumptions!$B$46*(1+Assumptions!$B$47)^MAX(E6-Assumptions!$B$49,0),Assumptions!$B$46))</f>
        <v>0</v>
      </c>
      <c r="F11" s="30">
        <f>IF(F6="",0,IF(Assumptions!$B$48="Escalated",Assumptions!$B$46*(1+Assumptions!$B$47)^MAX(F6-Assumptions!$B$49,0),Assumptions!$B$46))</f>
        <v>0</v>
      </c>
      <c r="G11" s="30">
        <f>IF(G6="",0,IF(Assumptions!$B$48="Escalated",Assumptions!$B$46*(1+Assumptions!$B$47)^MAX(G6-Assumptions!$B$49,0),Assumptions!$B$46))</f>
        <v>0.06</v>
      </c>
      <c r="H11" s="30">
        <f>IF(H6="",0,IF(Assumptions!$B$48="Escalated",Assumptions!$B$46*(1+Assumptions!$B$47)^MAX(H6-Assumptions!$B$49,0),Assumptions!$B$46))</f>
        <v>6.1199999999999997E-2</v>
      </c>
      <c r="I11" s="30">
        <f>IF(I6="",0,IF(Assumptions!$B$48="Escalated",Assumptions!$B$46*(1+Assumptions!$B$47)^MAX(I6-Assumptions!$B$49,0),Assumptions!$B$46))</f>
        <v>6.2424E-2</v>
      </c>
      <c r="J11" s="30">
        <f>IF(J6="",0,IF(Assumptions!$B$48="Escalated",Assumptions!$B$46*(1+Assumptions!$B$47)^MAX(J6-Assumptions!$B$49,0),Assumptions!$B$46))</f>
        <v>6.367247999999999E-2</v>
      </c>
      <c r="K11" s="30">
        <f>IF(K6="",0,IF(Assumptions!$B$48="Escalated",Assumptions!$B$46*(1+Assumptions!$B$47)^MAX(K6-Assumptions!$B$49,0),Assumptions!$B$46))</f>
        <v>6.4945929599999994E-2</v>
      </c>
      <c r="L11" s="30">
        <f>IF(L6="",0,IF(Assumptions!$B$48="Escalated",Assumptions!$B$46*(1+Assumptions!$B$47)^MAX(L6-Assumptions!$B$49,0),Assumptions!$B$46))</f>
        <v>6.6244848191999994E-2</v>
      </c>
      <c r="M11" s="30">
        <f>IF(M6="",0,IF(Assumptions!$B$48="Escalated",Assumptions!$B$46*(1+Assumptions!$B$47)^MAX(M6-Assumptions!$B$49,0),Assumptions!$B$46))</f>
        <v>6.7569745155840008E-2</v>
      </c>
      <c r="N11" s="30">
        <f>IF(N6="",0,IF(Assumptions!$B$48="Escalated",Assumptions!$B$46*(1+Assumptions!$B$47)^MAX(N6-Assumptions!$B$49,0),Assumptions!$B$46))</f>
        <v>6.892114005895679E-2</v>
      </c>
      <c r="O11" s="30">
        <f>IF(O6="",0,IF(Assumptions!$B$48="Escalated",Assumptions!$B$46*(1+Assumptions!$B$47)^MAX(O6-Assumptions!$B$49,0),Assumptions!$B$46))</f>
        <v>7.0299562860135931E-2</v>
      </c>
      <c r="P11" s="30">
        <f>IF(P6="",0,IF(Assumptions!$B$48="Escalated",Assumptions!$B$46*(1+Assumptions!$B$47)^MAX(P6-Assumptions!$B$49,0),Assumptions!$B$46))</f>
        <v>7.1705554117338643E-2</v>
      </c>
      <c r="Q11" s="30">
        <f>IF(Q6="",0,IF(Assumptions!$B$48="Escalated",Assumptions!$B$46*(1+Assumptions!$B$47)^MAX(Q6-Assumptions!$B$49,0),Assumptions!$B$46))</f>
        <v>7.3139665199685427E-2</v>
      </c>
      <c r="R11" s="30">
        <f>IF(R6="",0,IF(Assumptions!$B$48="Escalated",Assumptions!$B$46*(1+Assumptions!$B$47)^MAX(R6-Assumptions!$B$49,0),Assumptions!$B$46))</f>
        <v>7.4602458503679123E-2</v>
      </c>
      <c r="S11" s="30">
        <f>IF(S6="",0,IF(Assumptions!$B$48="Escalated",Assumptions!$B$46*(1+Assumptions!$B$47)^MAX(S6-Assumptions!$B$49,0),Assumptions!$B$46))</f>
        <v>7.6094507673752712E-2</v>
      </c>
      <c r="T11" s="30">
        <f>IF(T6="",0,IF(Assumptions!$B$48="Escalated",Assumptions!$B$46*(1+Assumptions!$B$47)^MAX(T6-Assumptions!$B$49,0),Assumptions!$B$46))</f>
        <v>7.7616397827227762E-2</v>
      </c>
      <c r="U11" s="30">
        <f>IF(U6="",0,IF(Assumptions!$B$48="Escalated",Assumptions!$B$46*(1+Assumptions!$B$47)^MAX(U6-Assumptions!$B$49,0),Assumptions!$B$46))</f>
        <v>7.916872578377232E-2</v>
      </c>
      <c r="V11" s="30">
        <f>IF(V6="",0,IF(Assumptions!$B$48="Escalated",Assumptions!$B$46*(1+Assumptions!$B$47)^MAX(V6-Assumptions!$B$49,0),Assumptions!$B$46))</f>
        <v>8.0752100299447752E-2</v>
      </c>
      <c r="W11" s="30">
        <f>IF(W6="",0,IF(Assumptions!$B$48="Escalated",Assumptions!$B$46*(1+Assumptions!$B$47)^MAX(W6-Assumptions!$B$49,0),Assumptions!$B$46))</f>
        <v>8.2367142305436722E-2</v>
      </c>
      <c r="X11" s="30">
        <f>IF(X6="",0,IF(Assumptions!$B$48="Escalated",Assumptions!$B$46*(1+Assumptions!$B$47)^MAX(X6-Assumptions!$B$49,0),Assumptions!$B$46))</f>
        <v>8.4014485151545457E-2</v>
      </c>
      <c r="Y11" s="30">
        <f>IF(Y6="",0,IF(Assumptions!$B$48="Escalated",Assumptions!$B$46*(1+Assumptions!$B$47)^MAX(Y6-Assumptions!$B$49,0),Assumptions!$B$46))</f>
        <v>8.5694774854576355E-2</v>
      </c>
      <c r="Z11" s="30">
        <f>IF(Z6="",0,IF(Assumptions!$B$48="Escalated",Assumptions!$B$46*(1+Assumptions!$B$47)^MAX(Z6-Assumptions!$B$49,0),Assumptions!$B$46))</f>
        <v>8.7408670351667883E-2</v>
      </c>
      <c r="AA11" s="30">
        <f>IF(AA6="",0,IF(Assumptions!$B$48="Escalated",Assumptions!$B$46*(1+Assumptions!$B$47)^MAX(AA6-Assumptions!$B$49,0),Assumptions!$B$46))</f>
        <v>8.9156843758701254E-2</v>
      </c>
      <c r="AB11" s="30">
        <f>IF(AB6="",0,IF(Assumptions!$B$48="Escalated",Assumptions!$B$46*(1+Assumptions!$B$47)^MAX(AB6-Assumptions!$B$49,0),Assumptions!$B$46))</f>
        <v>9.0939980633875275E-2</v>
      </c>
      <c r="AC11" s="30">
        <f>IF(AC6="",0,IF(Assumptions!$B$48="Escalated",Assumptions!$B$46*(1+Assumptions!$B$47)^MAX(AC6-Assumptions!$B$49,0),Assumptions!$B$46))</f>
        <v>9.2758780246552777E-2</v>
      </c>
      <c r="AD11" s="30">
        <f>IF(AD6="",0,IF(Assumptions!$B$48="Escalated",Assumptions!$B$46*(1+Assumptions!$B$47)^MAX(AD6-Assumptions!$B$49,0),Assumptions!$B$46))</f>
        <v>9.4613955851483814E-2</v>
      </c>
      <c r="AE11" s="30">
        <f>IF(AE6="",0,IF(Assumptions!$B$48="Escalated",Assumptions!$B$46*(1+Assumptions!$B$47)^MAX(AE6-Assumptions!$B$49,0),Assumptions!$B$46))</f>
        <v>9.6506234968513502E-2</v>
      </c>
      <c r="AF11" s="30">
        <f>IF(AF6="",0,IF(Assumptions!$B$48="Escalated",Assumptions!$B$46*(1+Assumptions!$B$47)^MAX(AF6-Assumptions!$B$49,0),Assumptions!$B$46))</f>
        <v>9.8436359667883763E-2</v>
      </c>
      <c r="AG11" s="30">
        <f>IF(AG6="",0,IF(Assumptions!$B$48="Escalated",Assumptions!$B$46*(1+Assumptions!$B$47)^MAX(AG6-Assumptions!$B$49,0),Assumptions!$B$46))</f>
        <v>0.10040508686124146</v>
      </c>
      <c r="AH11" s="30">
        <f>IF(AH6="",0,IF(Assumptions!$B$48="Escalated",Assumptions!$B$46*(1+Assumptions!$B$47)^MAX(AH6-Assumptions!$B$49,0),Assumptions!$B$46))</f>
        <v>0.10241318859846626</v>
      </c>
      <c r="AI11" s="30">
        <f>IF(AI6="",0,IF(Assumptions!$B$48="Escalated",Assumptions!$B$46*(1+Assumptions!$B$47)^MAX(AI6-Assumptions!$B$49,0),Assumptions!$B$46))</f>
        <v>0.10446145237043561</v>
      </c>
      <c r="AJ11" s="30">
        <f>IF(AJ6="",0,IF(Assumptions!$B$48="Escalated",Assumptions!$B$46*(1+Assumptions!$B$47)^MAX(AJ6-Assumptions!$B$49,0),Assumptions!$B$46))</f>
        <v>0.10655068141784431</v>
      </c>
      <c r="AK11" s="30">
        <f>IF(AK6="",0,IF(Assumptions!$B$48="Escalated",Assumptions!$B$46*(1+Assumptions!$B$47)^MAX(AK6-Assumptions!$B$49,0),Assumptions!$B$46))</f>
        <v>0</v>
      </c>
      <c r="AL11" s="30">
        <f>IF(AL6="",0,IF(Assumptions!$B$48="Escalated",Assumptions!$B$46*(1+Assumptions!$B$47)^MAX(AL6-Assumptions!$B$49,0),Assumptions!$B$46))</f>
        <v>0</v>
      </c>
      <c r="AM11" s="30">
        <f>IF(AM6="",0,IF(Assumptions!$B$48="Escalated",Assumptions!$B$46*(1+Assumptions!$B$47)^MAX(AM6-Assumptions!$B$49,0),Assumptions!$B$46))</f>
        <v>0</v>
      </c>
      <c r="AN11" s="30">
        <f>IF(AN6="",0,IF(Assumptions!$B$48="Escalated",Assumptions!$B$46*(1+Assumptions!$B$47)^MAX(AN6-Assumptions!$B$49,0),Assumptions!$B$46))</f>
        <v>0</v>
      </c>
      <c r="AO11" s="30">
        <f>IF(AO6="",0,IF(Assumptions!$B$48="Escalated",Assumptions!$B$46*(1+Assumptions!$B$47)^MAX(AO6-Assumptions!$B$49,0),Assumptions!$B$46))</f>
        <v>0</v>
      </c>
      <c r="AP11" s="30">
        <f>IF(AP6="",0,IF(Assumptions!$B$48="Escalated",Assumptions!$B$46*(1+Assumptions!$B$47)^MAX(AP6-Assumptions!$B$49,0),Assumptions!$B$46))</f>
        <v>0</v>
      </c>
      <c r="AQ11" s="30">
        <f>IF(AQ6="",0,IF(Assumptions!$B$48="Escalated",Assumptions!$B$46*(1+Assumptions!$B$47)^MAX(AQ6-Assumptions!$B$49,0),Assumptions!$B$46))</f>
        <v>0</v>
      </c>
    </row>
    <row r="12" spans="1:43" ht="15" customHeight="1" x14ac:dyDescent="0.3">
      <c r="A12" s="6" t="s">
        <v>100</v>
      </c>
      <c r="D12" s="12">
        <f t="shared" ref="D12:AQ12" si="0">D9*D11*D10</f>
        <v>0</v>
      </c>
      <c r="E12" s="12">
        <f t="shared" si="0"/>
        <v>0</v>
      </c>
      <c r="F12" s="12">
        <f t="shared" si="0"/>
        <v>0</v>
      </c>
      <c r="G12" s="12">
        <f t="shared" si="0"/>
        <v>26.017199999999999</v>
      </c>
      <c r="H12" s="12">
        <f t="shared" si="0"/>
        <v>26.537544</v>
      </c>
      <c r="I12" s="12">
        <f t="shared" si="0"/>
        <v>27.06829488</v>
      </c>
      <c r="J12" s="12">
        <f t="shared" si="0"/>
        <v>27.609660777599995</v>
      </c>
      <c r="K12" s="12">
        <f t="shared" si="0"/>
        <v>28.161853993151997</v>
      </c>
      <c r="L12" s="12">
        <f t="shared" si="0"/>
        <v>28.725091073015037</v>
      </c>
      <c r="M12" s="12">
        <f t="shared" si="0"/>
        <v>29.299592894475346</v>
      </c>
      <c r="N12" s="12">
        <f t="shared" si="0"/>
        <v>29.885584752364842</v>
      </c>
      <c r="O12" s="12">
        <f t="shared" si="0"/>
        <v>30.483296447412144</v>
      </c>
      <c r="P12" s="12">
        <f t="shared" si="0"/>
        <v>31.092962376360383</v>
      </c>
      <c r="Q12" s="12">
        <f t="shared" si="0"/>
        <v>31.714821623887595</v>
      </c>
      <c r="R12" s="12">
        <f t="shared" si="0"/>
        <v>32.349118056365342</v>
      </c>
      <c r="S12" s="12">
        <f t="shared" si="0"/>
        <v>32.996100417492649</v>
      </c>
      <c r="T12" s="12">
        <f t="shared" si="0"/>
        <v>33.656022425842501</v>
      </c>
      <c r="U12" s="12">
        <f t="shared" si="0"/>
        <v>34.329142874359356</v>
      </c>
      <c r="V12" s="12">
        <f t="shared" si="0"/>
        <v>35.015725731846537</v>
      </c>
      <c r="W12" s="12">
        <f t="shared" si="0"/>
        <v>35.716040246483473</v>
      </c>
      <c r="X12" s="12">
        <f t="shared" si="0"/>
        <v>36.430361051413144</v>
      </c>
      <c r="Y12" s="12">
        <f t="shared" si="0"/>
        <v>37.158968272441399</v>
      </c>
      <c r="Z12" s="12">
        <f t="shared" si="0"/>
        <v>37.902147637890231</v>
      </c>
      <c r="AA12" s="12">
        <f t="shared" si="0"/>
        <v>38.660190590648035</v>
      </c>
      <c r="AB12" s="12">
        <f t="shared" si="0"/>
        <v>39.433394402460998</v>
      </c>
      <c r="AC12" s="12">
        <f t="shared" si="0"/>
        <v>40.222062290510216</v>
      </c>
      <c r="AD12" s="12">
        <f t="shared" si="0"/>
        <v>41.026503536320412</v>
      </c>
      <c r="AE12" s="12">
        <f t="shared" si="0"/>
        <v>41.847033607046825</v>
      </c>
      <c r="AF12" s="12">
        <f t="shared" si="0"/>
        <v>42.683974279187758</v>
      </c>
      <c r="AG12" s="12">
        <f t="shared" si="0"/>
        <v>43.53765376477152</v>
      </c>
      <c r="AH12" s="12">
        <f t="shared" si="0"/>
        <v>44.408406840066945</v>
      </c>
      <c r="AI12" s="12">
        <f t="shared" si="0"/>
        <v>45.296574976868293</v>
      </c>
      <c r="AJ12" s="12">
        <f t="shared" si="0"/>
        <v>46.202506476405652</v>
      </c>
      <c r="AK12" s="12">
        <f t="shared" si="0"/>
        <v>0</v>
      </c>
      <c r="AL12" s="12">
        <f t="shared" si="0"/>
        <v>0</v>
      </c>
      <c r="AM12" s="12">
        <f t="shared" si="0"/>
        <v>0</v>
      </c>
      <c r="AN12" s="12">
        <f t="shared" si="0"/>
        <v>0</v>
      </c>
      <c r="AO12" s="12">
        <f t="shared" si="0"/>
        <v>0</v>
      </c>
      <c r="AP12" s="12">
        <f t="shared" si="0"/>
        <v>0</v>
      </c>
      <c r="AQ12" s="12">
        <f t="shared" si="0"/>
        <v>0</v>
      </c>
    </row>
    <row r="14" spans="1:43" ht="18" customHeight="1" x14ac:dyDescent="0.3">
      <c r="A14" s="51" t="s">
        <v>101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</row>
    <row r="15" spans="1:43" ht="15" customHeight="1" x14ac:dyDescent="0.3">
      <c r="A15" s="3" t="s">
        <v>102</v>
      </c>
      <c r="D15" s="26">
        <f>IF(D6="",0,D9*Assumptions!$B$52*(1+Assumptions!$B$54)^MAX(D6-1,0)/1000)</f>
        <v>0</v>
      </c>
      <c r="E15" s="26">
        <f>IF(E6="",0,E9*Assumptions!$B$52*(1+Assumptions!$B$54)^MAX(E6-1,0)/1000)</f>
        <v>0</v>
      </c>
      <c r="F15" s="26">
        <f>IF(F6="",0,F9*Assumptions!$B$52*(1+Assumptions!$B$54)^MAX(F6-1,0)/1000)</f>
        <v>0</v>
      </c>
      <c r="G15" s="26">
        <f>IF(G6="",0,G9*Assumptions!$B$52*(1+Assumptions!$B$54)^MAX(G6-1,0)/1000)</f>
        <v>6.5042999999999997</v>
      </c>
      <c r="H15" s="26">
        <f>IF(H6="",0,H9*Assumptions!$B$52*(1+Assumptions!$B$54)^MAX(H6-1,0)/1000)</f>
        <v>6.6343860000000001</v>
      </c>
      <c r="I15" s="26">
        <f>IF(I6="",0,I9*Assumptions!$B$52*(1+Assumptions!$B$54)^MAX(I6-1,0)/1000)</f>
        <v>6.76707372</v>
      </c>
      <c r="J15" s="26">
        <f>IF(J6="",0,J9*Assumptions!$B$52*(1+Assumptions!$B$54)^MAX(J6-1,0)/1000)</f>
        <v>6.9024151943999996</v>
      </c>
      <c r="K15" s="26">
        <f>IF(K6="",0,K9*Assumptions!$B$52*(1+Assumptions!$B$54)^MAX(K6-1,0)/1000)</f>
        <v>7.0404634982880001</v>
      </c>
      <c r="L15" s="26">
        <f>IF(L6="",0,L9*Assumptions!$B$52*(1+Assumptions!$B$54)^MAX(L6-1,0)/1000)</f>
        <v>7.1812727682537609</v>
      </c>
      <c r="M15" s="26">
        <f>IF(M6="",0,M9*Assumptions!$B$52*(1+Assumptions!$B$54)^MAX(M6-1,0)/1000)</f>
        <v>7.3248982236188356</v>
      </c>
      <c r="N15" s="26">
        <f>IF(N6="",0,N9*Assumptions!$B$52*(1+Assumptions!$B$54)^MAX(N6-1,0)/1000)</f>
        <v>7.4713961880912114</v>
      </c>
      <c r="O15" s="26">
        <f>IF(O6="",0,O9*Assumptions!$B$52*(1+Assumptions!$B$54)^MAX(O6-1,0)/1000)</f>
        <v>7.620824111853036</v>
      </c>
      <c r="P15" s="26">
        <f>IF(P6="",0,P9*Assumptions!$B$52*(1+Assumptions!$B$54)^MAX(P6-1,0)/1000)</f>
        <v>7.7732405940900966</v>
      </c>
      <c r="Q15" s="26">
        <f>IF(Q6="",0,Q9*Assumptions!$B$52*(1+Assumptions!$B$54)^MAX(Q6-1,0)/1000)</f>
        <v>7.9287054059718987</v>
      </c>
      <c r="R15" s="26">
        <f>IF(R6="",0,R9*Assumptions!$B$52*(1+Assumptions!$B$54)^MAX(R6-1,0)/1000)</f>
        <v>8.0872795140913354</v>
      </c>
      <c r="S15" s="26">
        <f>IF(S6="",0,S9*Assumptions!$B$52*(1+Assumptions!$B$54)^MAX(S6-1,0)/1000)</f>
        <v>8.2490251043731639</v>
      </c>
      <c r="T15" s="26">
        <f>IF(T6="",0,T9*Assumptions!$B$52*(1+Assumptions!$B$54)^MAX(T6-1,0)/1000)</f>
        <v>8.414005606460627</v>
      </c>
      <c r="U15" s="26">
        <f>IF(U6="",0,U9*Assumptions!$B$52*(1+Assumptions!$B$54)^MAX(U6-1,0)/1000)</f>
        <v>8.5822857185898389</v>
      </c>
      <c r="V15" s="26">
        <f>IF(V6="",0,V9*Assumptions!$B$52*(1+Assumptions!$B$54)^MAX(V6-1,0)/1000)</f>
        <v>8.7539314329616342</v>
      </c>
      <c r="W15" s="26">
        <f>IF(W6="",0,W9*Assumptions!$B$52*(1+Assumptions!$B$54)^MAX(W6-1,0)/1000)</f>
        <v>8.9290100616208683</v>
      </c>
      <c r="X15" s="26">
        <f>IF(X6="",0,X9*Assumptions!$B$52*(1+Assumptions!$B$54)^MAX(X6-1,0)/1000)</f>
        <v>9.1075902628532859</v>
      </c>
      <c r="Y15" s="26">
        <f>IF(Y6="",0,Y9*Assumptions!$B$52*(1+Assumptions!$B$54)^MAX(Y6-1,0)/1000)</f>
        <v>9.2897420681103497</v>
      </c>
      <c r="Z15" s="26">
        <f>IF(Z6="",0,Z9*Assumptions!$B$52*(1+Assumptions!$B$54)^MAX(Z6-1,0)/1000)</f>
        <v>9.4755369094725577</v>
      </c>
      <c r="AA15" s="26">
        <f>IF(AA6="",0,AA9*Assumptions!$B$52*(1+Assumptions!$B$54)^MAX(AA6-1,0)/1000)</f>
        <v>9.6650476476620089</v>
      </c>
      <c r="AB15" s="26">
        <f>IF(AB6="",0,AB9*Assumptions!$B$52*(1+Assumptions!$B$54)^MAX(AB6-1,0)/1000)</f>
        <v>9.8583486006152494</v>
      </c>
      <c r="AC15" s="26">
        <f>IF(AC6="",0,AC9*Assumptions!$B$52*(1+Assumptions!$B$54)^MAX(AC6-1,0)/1000)</f>
        <v>10.055515572627556</v>
      </c>
      <c r="AD15" s="26">
        <f>IF(AD6="",0,AD9*Assumptions!$B$52*(1+Assumptions!$B$54)^MAX(AD6-1,0)/1000)</f>
        <v>10.256625884080103</v>
      </c>
      <c r="AE15" s="26">
        <f>IF(AE6="",0,AE9*Assumptions!$B$52*(1+Assumptions!$B$54)^MAX(AE6-1,0)/1000)</f>
        <v>10.461758401761706</v>
      </c>
      <c r="AF15" s="26">
        <f>IF(AF6="",0,AF9*Assumptions!$B$52*(1+Assumptions!$B$54)^MAX(AF6-1,0)/1000)</f>
        <v>10.670993569796941</v>
      </c>
      <c r="AG15" s="26">
        <f>IF(AG6="",0,AG9*Assumptions!$B$52*(1+Assumptions!$B$54)^MAX(AG6-1,0)/1000)</f>
        <v>10.88441344119288</v>
      </c>
      <c r="AH15" s="26">
        <f>IF(AH6="",0,AH9*Assumptions!$B$52*(1+Assumptions!$B$54)^MAX(AH6-1,0)/1000)</f>
        <v>11.102101710016736</v>
      </c>
      <c r="AI15" s="26">
        <f>IF(AI6="",0,AI9*Assumptions!$B$52*(1+Assumptions!$B$54)^MAX(AI6-1,0)/1000)</f>
        <v>11.324143744217073</v>
      </c>
      <c r="AJ15" s="26">
        <f>IF(AJ6="",0,AJ9*Assumptions!$B$52*(1+Assumptions!$B$54)^MAX(AJ6-1,0)/1000)</f>
        <v>11.550626619101413</v>
      </c>
      <c r="AK15" s="26">
        <f>IF(AK6="",0,AK9*Assumptions!$B$52*(1+Assumptions!$B$54)^MAX(AK6-1,0)/1000)</f>
        <v>0</v>
      </c>
      <c r="AL15" s="26">
        <f>IF(AL6="",0,AL9*Assumptions!$B$52*(1+Assumptions!$B$54)^MAX(AL6-1,0)/1000)</f>
        <v>0</v>
      </c>
      <c r="AM15" s="26">
        <f>IF(AM6="",0,AM9*Assumptions!$B$52*(1+Assumptions!$B$54)^MAX(AM6-1,0)/1000)</f>
        <v>0</v>
      </c>
      <c r="AN15" s="26">
        <f>IF(AN6="",0,AN9*Assumptions!$B$52*(1+Assumptions!$B$54)^MAX(AN6-1,0)/1000)</f>
        <v>0</v>
      </c>
      <c r="AO15" s="26">
        <f>IF(AO6="",0,AO9*Assumptions!$B$52*(1+Assumptions!$B$54)^MAX(AO6-1,0)/1000)</f>
        <v>0</v>
      </c>
      <c r="AP15" s="26">
        <f>IF(AP6="",0,AP9*Assumptions!$B$52*(1+Assumptions!$B$54)^MAX(AP6-1,0)/1000)</f>
        <v>0</v>
      </c>
      <c r="AQ15" s="26">
        <f>IF(AQ6="",0,AQ9*Assumptions!$B$52*(1+Assumptions!$B$54)^MAX(AQ6-1,0)/1000)</f>
        <v>0</v>
      </c>
    </row>
    <row r="16" spans="1:43" ht="15" customHeight="1" x14ac:dyDescent="0.3">
      <c r="A16" s="3" t="s">
        <v>103</v>
      </c>
      <c r="D16" s="26">
        <f>D15*Assumptions!$B$53*Assumptions!$B$31</f>
        <v>0</v>
      </c>
      <c r="E16" s="26">
        <f>E15*Assumptions!$B$53*Assumptions!$B$31</f>
        <v>0</v>
      </c>
      <c r="F16" s="26">
        <f>F15*Assumptions!$B$53*Assumptions!$B$31</f>
        <v>0</v>
      </c>
      <c r="G16" s="26">
        <f>G15*Assumptions!$B$53*Assumptions!$B$31</f>
        <v>0.50083109999999997</v>
      </c>
      <c r="H16" s="26">
        <f>H15*Assumptions!$B$53*Assumptions!$B$31</f>
        <v>0.51084772199999995</v>
      </c>
      <c r="I16" s="26">
        <f>I15*Assumptions!$B$53*Assumptions!$B$31</f>
        <v>0.52106467643999999</v>
      </c>
      <c r="J16" s="26">
        <f>J15*Assumptions!$B$53*Assumptions!$B$31</f>
        <v>0.53148596996879993</v>
      </c>
      <c r="K16" s="26">
        <f>K15*Assumptions!$B$53*Assumptions!$B$31</f>
        <v>0.54211568936817589</v>
      </c>
      <c r="L16" s="26">
        <f>L15*Assumptions!$B$53*Assumptions!$B$31</f>
        <v>0.55295800315553956</v>
      </c>
      <c r="M16" s="26">
        <f>M15*Assumptions!$B$53*Assumptions!$B$31</f>
        <v>0.56401716321865036</v>
      </c>
      <c r="N16" s="26">
        <f>N15*Assumptions!$B$53*Assumptions!$B$31</f>
        <v>0.57529750648302325</v>
      </c>
      <c r="O16" s="26">
        <f>O15*Assumptions!$B$53*Assumptions!$B$31</f>
        <v>0.58680345661268374</v>
      </c>
      <c r="P16" s="26">
        <f>P15*Assumptions!$B$53*Assumptions!$B$31</f>
        <v>0.59853952574493741</v>
      </c>
      <c r="Q16" s="26">
        <f>Q15*Assumptions!$B$53*Assumptions!$B$31</f>
        <v>0.61051031625983621</v>
      </c>
      <c r="R16" s="26">
        <f>R15*Assumptions!$B$53*Assumptions!$B$31</f>
        <v>0.62272052258503285</v>
      </c>
      <c r="S16" s="26">
        <f>S15*Assumptions!$B$53*Assumptions!$B$31</f>
        <v>0.63517493303673356</v>
      </c>
      <c r="T16" s="26">
        <f>T15*Assumptions!$B$53*Assumptions!$B$31</f>
        <v>0.64787843169746828</v>
      </c>
      <c r="U16" s="26">
        <f>U15*Assumptions!$B$53*Assumptions!$B$31</f>
        <v>0.66083600033141754</v>
      </c>
      <c r="V16" s="26">
        <f>V15*Assumptions!$B$53*Assumptions!$B$31</f>
        <v>0.67405272033804575</v>
      </c>
      <c r="W16" s="26">
        <f>W15*Assumptions!$B$53*Assumptions!$B$31</f>
        <v>0.68753377474480681</v>
      </c>
      <c r="X16" s="26">
        <f>X15*Assumptions!$B$53*Assumptions!$B$31</f>
        <v>0.70128445023970298</v>
      </c>
      <c r="Y16" s="26">
        <f>Y15*Assumptions!$B$53*Assumptions!$B$31</f>
        <v>0.71531013924449682</v>
      </c>
      <c r="Z16" s="26">
        <f>Z15*Assumptions!$B$53*Assumptions!$B$31</f>
        <v>0.72961634202938686</v>
      </c>
      <c r="AA16" s="26">
        <f>AA15*Assumptions!$B$53*Assumptions!$B$31</f>
        <v>0.74420866886997461</v>
      </c>
      <c r="AB16" s="26">
        <f>AB15*Assumptions!$B$53*Assumptions!$B$31</f>
        <v>0.75909284224737417</v>
      </c>
      <c r="AC16" s="26">
        <f>AC15*Assumptions!$B$53*Assumptions!$B$31</f>
        <v>0.77427469909232172</v>
      </c>
      <c r="AD16" s="26">
        <f>AD15*Assumptions!$B$53*Assumptions!$B$31</f>
        <v>0.78976019307416789</v>
      </c>
      <c r="AE16" s="26">
        <f>AE15*Assumptions!$B$53*Assumptions!$B$31</f>
        <v>0.80555539693565126</v>
      </c>
      <c r="AF16" s="26">
        <f>AF15*Assumptions!$B$53*Assumptions!$B$31</f>
        <v>0.82166650487436443</v>
      </c>
      <c r="AG16" s="26">
        <f>AG15*Assumptions!$B$53*Assumptions!$B$31</f>
        <v>0.8380998349718517</v>
      </c>
      <c r="AH16" s="26">
        <f>AH15*Assumptions!$B$53*Assumptions!$B$31</f>
        <v>0.8548618316712886</v>
      </c>
      <c r="AI16" s="26">
        <f>AI15*Assumptions!$B$53*Assumptions!$B$31</f>
        <v>0.87195906830471459</v>
      </c>
      <c r="AJ16" s="26">
        <f>AJ15*Assumptions!$B$53*Assumptions!$B$31</f>
        <v>0.88939824967080883</v>
      </c>
      <c r="AK16" s="26">
        <f>AK15*Assumptions!$B$53*Assumptions!$B$31</f>
        <v>0</v>
      </c>
      <c r="AL16" s="26">
        <f>AL15*Assumptions!$B$53*Assumptions!$B$31</f>
        <v>0</v>
      </c>
      <c r="AM16" s="26">
        <f>AM15*Assumptions!$B$53*Assumptions!$B$31</f>
        <v>0</v>
      </c>
      <c r="AN16" s="26">
        <f>AN15*Assumptions!$B$53*Assumptions!$B$31</f>
        <v>0</v>
      </c>
      <c r="AO16" s="26">
        <f>AO15*Assumptions!$B$53*Assumptions!$B$31</f>
        <v>0</v>
      </c>
      <c r="AP16" s="26">
        <f>AP15*Assumptions!$B$53*Assumptions!$B$31</f>
        <v>0</v>
      </c>
      <c r="AQ16" s="26">
        <f>AQ15*Assumptions!$B$53*Assumptions!$B$31</f>
        <v>0</v>
      </c>
    </row>
    <row r="17" spans="1:43" ht="15" customHeight="1" x14ac:dyDescent="0.3">
      <c r="A17" s="6" t="s">
        <v>104</v>
      </c>
      <c r="D17" s="12">
        <f t="shared" ref="D17:AQ17" si="1">D15+D16</f>
        <v>0</v>
      </c>
      <c r="E17" s="12">
        <f t="shared" si="1"/>
        <v>0</v>
      </c>
      <c r="F17" s="12">
        <f t="shared" si="1"/>
        <v>0</v>
      </c>
      <c r="G17" s="12">
        <f t="shared" si="1"/>
        <v>7.0051310999999998</v>
      </c>
      <c r="H17" s="12">
        <f t="shared" si="1"/>
        <v>7.1452337220000004</v>
      </c>
      <c r="I17" s="12">
        <f t="shared" si="1"/>
        <v>7.2881383964399999</v>
      </c>
      <c r="J17" s="12">
        <f t="shared" si="1"/>
        <v>7.4339011643688</v>
      </c>
      <c r="K17" s="12">
        <f t="shared" si="1"/>
        <v>7.5825791876561759</v>
      </c>
      <c r="L17" s="12">
        <f t="shared" si="1"/>
        <v>7.7342307714093002</v>
      </c>
      <c r="M17" s="12">
        <f t="shared" si="1"/>
        <v>7.8889153868374855</v>
      </c>
      <c r="N17" s="12">
        <f t="shared" si="1"/>
        <v>8.046693694574234</v>
      </c>
      <c r="O17" s="12">
        <f t="shared" si="1"/>
        <v>8.2076275684657194</v>
      </c>
      <c r="P17" s="12">
        <f t="shared" si="1"/>
        <v>8.3717801198350337</v>
      </c>
      <c r="Q17" s="12">
        <f t="shared" si="1"/>
        <v>8.5392157222317344</v>
      </c>
      <c r="R17" s="12">
        <f t="shared" si="1"/>
        <v>8.7100000366763677</v>
      </c>
      <c r="S17" s="12">
        <f t="shared" si="1"/>
        <v>8.8842000374098973</v>
      </c>
      <c r="T17" s="12">
        <f t="shared" si="1"/>
        <v>9.0618840381580945</v>
      </c>
      <c r="U17" s="12">
        <f t="shared" si="1"/>
        <v>9.2431217189212571</v>
      </c>
      <c r="V17" s="12">
        <f t="shared" si="1"/>
        <v>9.4279841532996791</v>
      </c>
      <c r="W17" s="12">
        <f t="shared" si="1"/>
        <v>9.6165438363656754</v>
      </c>
      <c r="X17" s="12">
        <f t="shared" si="1"/>
        <v>9.8088747130929885</v>
      </c>
      <c r="Y17" s="12">
        <f t="shared" si="1"/>
        <v>10.005052207354847</v>
      </c>
      <c r="Z17" s="12">
        <f t="shared" si="1"/>
        <v>10.205153251501944</v>
      </c>
      <c r="AA17" s="12">
        <f t="shared" si="1"/>
        <v>10.409256316531984</v>
      </c>
      <c r="AB17" s="12">
        <f t="shared" si="1"/>
        <v>10.617441442862624</v>
      </c>
      <c r="AC17" s="12">
        <f t="shared" si="1"/>
        <v>10.829790271719878</v>
      </c>
      <c r="AD17" s="12">
        <f t="shared" si="1"/>
        <v>11.046386077154271</v>
      </c>
      <c r="AE17" s="12">
        <f t="shared" si="1"/>
        <v>11.267313798697357</v>
      </c>
      <c r="AF17" s="12">
        <f t="shared" si="1"/>
        <v>11.492660074671306</v>
      </c>
      <c r="AG17" s="12">
        <f t="shared" si="1"/>
        <v>11.722513276164731</v>
      </c>
      <c r="AH17" s="12">
        <f t="shared" si="1"/>
        <v>11.956963541688024</v>
      </c>
      <c r="AI17" s="12">
        <f t="shared" si="1"/>
        <v>12.196102812521788</v>
      </c>
      <c r="AJ17" s="12">
        <f t="shared" si="1"/>
        <v>12.440024868772221</v>
      </c>
      <c r="AK17" s="12">
        <f t="shared" si="1"/>
        <v>0</v>
      </c>
      <c r="AL17" s="12">
        <f t="shared" si="1"/>
        <v>0</v>
      </c>
      <c r="AM17" s="12">
        <f t="shared" si="1"/>
        <v>0</v>
      </c>
      <c r="AN17" s="12">
        <f t="shared" si="1"/>
        <v>0</v>
      </c>
      <c r="AO17" s="12">
        <f t="shared" si="1"/>
        <v>0</v>
      </c>
      <c r="AP17" s="12">
        <f t="shared" si="1"/>
        <v>0</v>
      </c>
      <c r="AQ17" s="12">
        <f t="shared" si="1"/>
        <v>0</v>
      </c>
    </row>
    <row r="19" spans="1:43" ht="15" customHeight="1" x14ac:dyDescent="0.3">
      <c r="A19" s="6" t="s">
        <v>105</v>
      </c>
      <c r="D19" s="12">
        <f t="shared" ref="D19:AQ19" si="2">D12-D17</f>
        <v>0</v>
      </c>
      <c r="E19" s="12">
        <f t="shared" si="2"/>
        <v>0</v>
      </c>
      <c r="F19" s="12">
        <f t="shared" si="2"/>
        <v>0</v>
      </c>
      <c r="G19" s="12">
        <f t="shared" si="2"/>
        <v>19.012068899999999</v>
      </c>
      <c r="H19" s="12">
        <f t="shared" si="2"/>
        <v>19.392310278</v>
      </c>
      <c r="I19" s="12">
        <f t="shared" si="2"/>
        <v>19.780156483559999</v>
      </c>
      <c r="J19" s="12">
        <f t="shared" si="2"/>
        <v>20.175759613231193</v>
      </c>
      <c r="K19" s="12">
        <f t="shared" si="2"/>
        <v>20.579274805495821</v>
      </c>
      <c r="L19" s="12">
        <f t="shared" si="2"/>
        <v>20.990860301605736</v>
      </c>
      <c r="M19" s="12">
        <f t="shared" si="2"/>
        <v>21.41067750763786</v>
      </c>
      <c r="N19" s="12">
        <f t="shared" si="2"/>
        <v>21.838891057790608</v>
      </c>
      <c r="O19" s="12">
        <f t="shared" si="2"/>
        <v>22.275668878946426</v>
      </c>
      <c r="P19" s="12">
        <f t="shared" si="2"/>
        <v>22.721182256525349</v>
      </c>
      <c r="Q19" s="12">
        <f t="shared" si="2"/>
        <v>23.17560590165586</v>
      </c>
      <c r="R19" s="12">
        <f t="shared" si="2"/>
        <v>23.639118019688972</v>
      </c>
      <c r="S19" s="12">
        <f t="shared" si="2"/>
        <v>24.111900380082751</v>
      </c>
      <c r="T19" s="12">
        <f t="shared" si="2"/>
        <v>24.594138387684406</v>
      </c>
      <c r="U19" s="12">
        <f t="shared" si="2"/>
        <v>25.086021155438097</v>
      </c>
      <c r="V19" s="12">
        <f t="shared" si="2"/>
        <v>25.587741578546858</v>
      </c>
      <c r="W19" s="12">
        <f t="shared" si="2"/>
        <v>26.099496410117798</v>
      </c>
      <c r="X19" s="12">
        <f t="shared" si="2"/>
        <v>26.621486338320153</v>
      </c>
      <c r="Y19" s="12">
        <f t="shared" si="2"/>
        <v>27.153916065086552</v>
      </c>
      <c r="Z19" s="12">
        <f t="shared" si="2"/>
        <v>27.696994386388287</v>
      </c>
      <c r="AA19" s="12">
        <f t="shared" si="2"/>
        <v>28.250934274116052</v>
      </c>
      <c r="AB19" s="12">
        <f t="shared" si="2"/>
        <v>28.815952959598373</v>
      </c>
      <c r="AC19" s="12">
        <f t="shared" si="2"/>
        <v>29.392272018790337</v>
      </c>
      <c r="AD19" s="12">
        <f t="shared" si="2"/>
        <v>29.980117459166141</v>
      </c>
      <c r="AE19" s="12">
        <f t="shared" si="2"/>
        <v>30.579719808349466</v>
      </c>
      <c r="AF19" s="12">
        <f t="shared" si="2"/>
        <v>31.191314204516452</v>
      </c>
      <c r="AG19" s="12">
        <f t="shared" si="2"/>
        <v>31.815140488606787</v>
      </c>
      <c r="AH19" s="12">
        <f t="shared" si="2"/>
        <v>32.451443298378919</v>
      </c>
      <c r="AI19" s="12">
        <f t="shared" si="2"/>
        <v>33.100472164346506</v>
      </c>
      <c r="AJ19" s="12">
        <f t="shared" si="2"/>
        <v>33.762481607633433</v>
      </c>
      <c r="AK19" s="12">
        <f t="shared" si="2"/>
        <v>0</v>
      </c>
      <c r="AL19" s="12">
        <f t="shared" si="2"/>
        <v>0</v>
      </c>
      <c r="AM19" s="12">
        <f t="shared" si="2"/>
        <v>0</v>
      </c>
      <c r="AN19" s="12">
        <f t="shared" si="2"/>
        <v>0</v>
      </c>
      <c r="AO19" s="12">
        <f t="shared" si="2"/>
        <v>0</v>
      </c>
      <c r="AP19" s="12">
        <f t="shared" si="2"/>
        <v>0</v>
      </c>
      <c r="AQ19" s="12">
        <f t="shared" si="2"/>
        <v>0</v>
      </c>
    </row>
  </sheetData>
  <mergeCells count="2">
    <mergeCell ref="A8:AQ8"/>
    <mergeCell ref="A14:AQ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A87"/>
  </sheetPr>
  <dimension ref="A1:AQ35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40" customWidth="1"/>
    <col min="2" max="3" width="12" customWidth="1"/>
    <col min="4" max="43" width="10.5546875" customWidth="1"/>
  </cols>
  <sheetData>
    <row r="1" spans="1:43" ht="19.5" customHeight="1" x14ac:dyDescent="0.4">
      <c r="A1" s="1" t="s">
        <v>106</v>
      </c>
    </row>
    <row r="2" spans="1:43" ht="15" customHeight="1" x14ac:dyDescent="0.3">
      <c r="A2" s="2" t="s">
        <v>107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8" spans="1:43" ht="18" customHeight="1" x14ac:dyDescent="0.3">
      <c r="A8" s="51" t="s">
        <v>108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spans="1:43" ht="15" customHeight="1" x14ac:dyDescent="0.3">
      <c r="A9" s="3" t="s">
        <v>109</v>
      </c>
      <c r="D9" s="31">
        <f>IF(OR(Assumptions!$B$43="Tax Holiday Only",Assumptions!$B$43="Holiday + Allowance"),Assumptions!D72,0)</f>
        <v>0</v>
      </c>
      <c r="E9" s="31">
        <f>IF(OR(Assumptions!$B$43="Tax Holiday Only",Assumptions!$B$43="Holiday + Allowance"),Assumptions!E72,0)</f>
        <v>0</v>
      </c>
      <c r="F9" s="31">
        <f>IF(OR(Assumptions!$B$43="Tax Holiday Only",Assumptions!$B$43="Holiday + Allowance"),Assumptions!F72,0)</f>
        <v>0</v>
      </c>
      <c r="G9" s="31">
        <f>IF(OR(Assumptions!$B$43="Tax Holiday Only",Assumptions!$B$43="Holiday + Allowance"),Assumptions!G72,0)</f>
        <v>1</v>
      </c>
      <c r="H9" s="31">
        <f>IF(OR(Assumptions!$B$43="Tax Holiday Only",Assumptions!$B$43="Holiday + Allowance"),Assumptions!H72,0)</f>
        <v>1</v>
      </c>
      <c r="I9" s="31">
        <f>IF(OR(Assumptions!$B$43="Tax Holiday Only",Assumptions!$B$43="Holiday + Allowance"),Assumptions!I72,0)</f>
        <v>1</v>
      </c>
      <c r="J9" s="31">
        <f>IF(OR(Assumptions!$B$43="Tax Holiday Only",Assumptions!$B$43="Holiday + Allowance"),Assumptions!J72,0)</f>
        <v>1</v>
      </c>
      <c r="K9" s="31">
        <f>IF(OR(Assumptions!$B$43="Tax Holiday Only",Assumptions!$B$43="Holiday + Allowance"),Assumptions!K72,0)</f>
        <v>1</v>
      </c>
      <c r="L9" s="31">
        <f>IF(OR(Assumptions!$B$43="Tax Holiday Only",Assumptions!$B$43="Holiday + Allowance"),Assumptions!L72,0)</f>
        <v>0</v>
      </c>
      <c r="M9" s="31">
        <f>IF(OR(Assumptions!$B$43="Tax Holiday Only",Assumptions!$B$43="Holiday + Allowance"),Assumptions!M72,0)</f>
        <v>0</v>
      </c>
      <c r="N9" s="31">
        <f>IF(OR(Assumptions!$B$43="Tax Holiday Only",Assumptions!$B$43="Holiday + Allowance"),Assumptions!N72,0)</f>
        <v>0</v>
      </c>
      <c r="O9" s="31">
        <f>IF(OR(Assumptions!$B$43="Tax Holiday Only",Assumptions!$B$43="Holiday + Allowance"),Assumptions!O72,0)</f>
        <v>0</v>
      </c>
      <c r="P9" s="31">
        <f>IF(OR(Assumptions!$B$43="Tax Holiday Only",Assumptions!$B$43="Holiday + Allowance"),Assumptions!P72,0)</f>
        <v>0</v>
      </c>
      <c r="Q9" s="31">
        <f>IF(OR(Assumptions!$B$43="Tax Holiday Only",Assumptions!$B$43="Holiday + Allowance"),Assumptions!Q72,0)</f>
        <v>0</v>
      </c>
      <c r="R9" s="31">
        <f>IF(OR(Assumptions!$B$43="Tax Holiday Only",Assumptions!$B$43="Holiday + Allowance"),Assumptions!R72,0)</f>
        <v>0</v>
      </c>
      <c r="S9" s="31">
        <f>IF(OR(Assumptions!$B$43="Tax Holiday Only",Assumptions!$B$43="Holiday + Allowance"),Assumptions!S72,0)</f>
        <v>0</v>
      </c>
      <c r="T9" s="31">
        <f>IF(OR(Assumptions!$B$43="Tax Holiday Only",Assumptions!$B$43="Holiday + Allowance"),Assumptions!T72,0)</f>
        <v>0</v>
      </c>
      <c r="U9" s="31">
        <f>IF(OR(Assumptions!$B$43="Tax Holiday Only",Assumptions!$B$43="Holiday + Allowance"),Assumptions!U72,0)</f>
        <v>0</v>
      </c>
      <c r="V9" s="31">
        <f>IF(OR(Assumptions!$B$43="Tax Holiday Only",Assumptions!$B$43="Holiday + Allowance"),Assumptions!V72,0)</f>
        <v>0</v>
      </c>
      <c r="W9" s="31">
        <f>IF(OR(Assumptions!$B$43="Tax Holiday Only",Assumptions!$B$43="Holiday + Allowance"),Assumptions!W72,0)</f>
        <v>0</v>
      </c>
      <c r="X9" s="31">
        <f>IF(OR(Assumptions!$B$43="Tax Holiday Only",Assumptions!$B$43="Holiday + Allowance"),Assumptions!X72,0)</f>
        <v>0</v>
      </c>
      <c r="Y9" s="31">
        <f>IF(OR(Assumptions!$B$43="Tax Holiday Only",Assumptions!$B$43="Holiday + Allowance"),Assumptions!Y72,0)</f>
        <v>0</v>
      </c>
      <c r="Z9" s="31">
        <f>IF(OR(Assumptions!$B$43="Tax Holiday Only",Assumptions!$B$43="Holiday + Allowance"),Assumptions!Z72,0)</f>
        <v>0</v>
      </c>
      <c r="AA9" s="31">
        <f>IF(OR(Assumptions!$B$43="Tax Holiday Only",Assumptions!$B$43="Holiday + Allowance"),Assumptions!AA72,0)</f>
        <v>0</v>
      </c>
      <c r="AB9" s="31">
        <f>IF(OR(Assumptions!$B$43="Tax Holiday Only",Assumptions!$B$43="Holiday + Allowance"),Assumptions!AB72,0)</f>
        <v>0</v>
      </c>
      <c r="AC9" s="31">
        <f>IF(OR(Assumptions!$B$43="Tax Holiday Only",Assumptions!$B$43="Holiday + Allowance"),Assumptions!AC72,0)</f>
        <v>0</v>
      </c>
      <c r="AD9" s="31">
        <f>IF(OR(Assumptions!$B$43="Tax Holiday Only",Assumptions!$B$43="Holiday + Allowance"),Assumptions!AD72,0)</f>
        <v>0</v>
      </c>
      <c r="AE9" s="31">
        <f>IF(OR(Assumptions!$B$43="Tax Holiday Only",Assumptions!$B$43="Holiday + Allowance"),Assumptions!AE72,0)</f>
        <v>0</v>
      </c>
      <c r="AF9" s="31">
        <f>IF(OR(Assumptions!$B$43="Tax Holiday Only",Assumptions!$B$43="Holiday + Allowance"),Assumptions!AF72,0)</f>
        <v>0</v>
      </c>
      <c r="AG9" s="31">
        <f>IF(OR(Assumptions!$B$43="Tax Holiday Only",Assumptions!$B$43="Holiday + Allowance"),Assumptions!AG72,0)</f>
        <v>0</v>
      </c>
      <c r="AH9" s="31">
        <f>IF(OR(Assumptions!$B$43="Tax Holiday Only",Assumptions!$B$43="Holiday + Allowance"),Assumptions!AH72,0)</f>
        <v>0</v>
      </c>
      <c r="AI9" s="31">
        <f>IF(OR(Assumptions!$B$43="Tax Holiday Only",Assumptions!$B$43="Holiday + Allowance"),Assumptions!AI72,0)</f>
        <v>0</v>
      </c>
      <c r="AJ9" s="31">
        <f>IF(OR(Assumptions!$B$43="Tax Holiday Only",Assumptions!$B$43="Holiday + Allowance"),Assumptions!AJ72,0)</f>
        <v>0</v>
      </c>
      <c r="AK9" s="31">
        <f>IF(OR(Assumptions!$B$43="Tax Holiday Only",Assumptions!$B$43="Holiday + Allowance"),Assumptions!AK72,0)</f>
        <v>0</v>
      </c>
      <c r="AL9" s="31">
        <f>IF(OR(Assumptions!$B$43="Tax Holiday Only",Assumptions!$B$43="Holiday + Allowance"),Assumptions!AL72,0)</f>
        <v>0</v>
      </c>
      <c r="AM9" s="31">
        <f>IF(OR(Assumptions!$B$43="Tax Holiday Only",Assumptions!$B$43="Holiday + Allowance"),Assumptions!AM72,0)</f>
        <v>0</v>
      </c>
      <c r="AN9" s="31">
        <f>IF(OR(Assumptions!$B$43="Tax Holiday Only",Assumptions!$B$43="Holiday + Allowance"),Assumptions!AN72,0)</f>
        <v>0</v>
      </c>
      <c r="AO9" s="31">
        <f>IF(OR(Assumptions!$B$43="Tax Holiday Only",Assumptions!$B$43="Holiday + Allowance"),Assumptions!AO72,0)</f>
        <v>0</v>
      </c>
      <c r="AP9" s="31">
        <f>IF(OR(Assumptions!$B$43="Tax Holiday Only",Assumptions!$B$43="Holiday + Allowance"),Assumptions!AP72,0)</f>
        <v>0</v>
      </c>
      <c r="AQ9" s="31">
        <f>IF(OR(Assumptions!$B$43="Tax Holiday Only",Assumptions!$B$43="Holiday + Allowance"),Assumptions!AQ72,0)</f>
        <v>0</v>
      </c>
    </row>
    <row r="10" spans="1:43" ht="15" customHeight="1" x14ac:dyDescent="0.3">
      <c r="A10" s="3" t="s">
        <v>110</v>
      </c>
      <c r="D10" s="31">
        <f>IF(OR(Assumptions!$B$43="Tax Allowance Only",Assumptions!$B$43="Holiday + Allowance"),Assumptions!D73,0)</f>
        <v>0</v>
      </c>
      <c r="E10" s="31">
        <f>IF(OR(Assumptions!$B$43="Tax Allowance Only",Assumptions!$B$43="Holiday + Allowance"),Assumptions!E73,0)</f>
        <v>0</v>
      </c>
      <c r="F10" s="31">
        <f>IF(OR(Assumptions!$B$43="Tax Allowance Only",Assumptions!$B$43="Holiday + Allowance"),Assumptions!F73,0)</f>
        <v>0</v>
      </c>
      <c r="G10" s="31">
        <f>IF(OR(Assumptions!$B$43="Tax Allowance Only",Assumptions!$B$43="Holiday + Allowance"),Assumptions!G73,0)</f>
        <v>1</v>
      </c>
      <c r="H10" s="31">
        <f>IF(OR(Assumptions!$B$43="Tax Allowance Only",Assumptions!$B$43="Holiday + Allowance"),Assumptions!H73,0)</f>
        <v>1</v>
      </c>
      <c r="I10" s="31">
        <f>IF(OR(Assumptions!$B$43="Tax Allowance Only",Assumptions!$B$43="Holiday + Allowance"),Assumptions!I73,0)</f>
        <v>1</v>
      </c>
      <c r="J10" s="31">
        <f>IF(OR(Assumptions!$B$43="Tax Allowance Only",Assumptions!$B$43="Holiday + Allowance"),Assumptions!J73,0)</f>
        <v>1</v>
      </c>
      <c r="K10" s="31">
        <f>IF(OR(Assumptions!$B$43="Tax Allowance Only",Assumptions!$B$43="Holiday + Allowance"),Assumptions!K73,0)</f>
        <v>1</v>
      </c>
      <c r="L10" s="31">
        <f>IF(OR(Assumptions!$B$43="Tax Allowance Only",Assumptions!$B$43="Holiday + Allowance"),Assumptions!L73,0)</f>
        <v>1</v>
      </c>
      <c r="M10" s="31">
        <f>IF(OR(Assumptions!$B$43="Tax Allowance Only",Assumptions!$B$43="Holiday + Allowance"),Assumptions!M73,0)</f>
        <v>0</v>
      </c>
      <c r="N10" s="31">
        <f>IF(OR(Assumptions!$B$43="Tax Allowance Only",Assumptions!$B$43="Holiday + Allowance"),Assumptions!N73,0)</f>
        <v>0</v>
      </c>
      <c r="O10" s="31">
        <f>IF(OR(Assumptions!$B$43="Tax Allowance Only",Assumptions!$B$43="Holiday + Allowance"),Assumptions!O73,0)</f>
        <v>0</v>
      </c>
      <c r="P10" s="31">
        <f>IF(OR(Assumptions!$B$43="Tax Allowance Only",Assumptions!$B$43="Holiday + Allowance"),Assumptions!P73,0)</f>
        <v>0</v>
      </c>
      <c r="Q10" s="31">
        <f>IF(OR(Assumptions!$B$43="Tax Allowance Only",Assumptions!$B$43="Holiday + Allowance"),Assumptions!Q73,0)</f>
        <v>0</v>
      </c>
      <c r="R10" s="31">
        <f>IF(OR(Assumptions!$B$43="Tax Allowance Only",Assumptions!$B$43="Holiday + Allowance"),Assumptions!R73,0)</f>
        <v>0</v>
      </c>
      <c r="S10" s="31">
        <f>IF(OR(Assumptions!$B$43="Tax Allowance Only",Assumptions!$B$43="Holiday + Allowance"),Assumptions!S73,0)</f>
        <v>0</v>
      </c>
      <c r="T10" s="31">
        <f>IF(OR(Assumptions!$B$43="Tax Allowance Only",Assumptions!$B$43="Holiday + Allowance"),Assumptions!T73,0)</f>
        <v>0</v>
      </c>
      <c r="U10" s="31">
        <f>IF(OR(Assumptions!$B$43="Tax Allowance Only",Assumptions!$B$43="Holiday + Allowance"),Assumptions!U73,0)</f>
        <v>0</v>
      </c>
      <c r="V10" s="31">
        <f>IF(OR(Assumptions!$B$43="Tax Allowance Only",Assumptions!$B$43="Holiday + Allowance"),Assumptions!V73,0)</f>
        <v>0</v>
      </c>
      <c r="W10" s="31">
        <f>IF(OR(Assumptions!$B$43="Tax Allowance Only",Assumptions!$B$43="Holiday + Allowance"),Assumptions!W73,0)</f>
        <v>0</v>
      </c>
      <c r="X10" s="31">
        <f>IF(OR(Assumptions!$B$43="Tax Allowance Only",Assumptions!$B$43="Holiday + Allowance"),Assumptions!X73,0)</f>
        <v>0</v>
      </c>
      <c r="Y10" s="31">
        <f>IF(OR(Assumptions!$B$43="Tax Allowance Only",Assumptions!$B$43="Holiday + Allowance"),Assumptions!Y73,0)</f>
        <v>0</v>
      </c>
      <c r="Z10" s="31">
        <f>IF(OR(Assumptions!$B$43="Tax Allowance Only",Assumptions!$B$43="Holiday + Allowance"),Assumptions!Z73,0)</f>
        <v>0</v>
      </c>
      <c r="AA10" s="31">
        <f>IF(OR(Assumptions!$B$43="Tax Allowance Only",Assumptions!$B$43="Holiday + Allowance"),Assumptions!AA73,0)</f>
        <v>0</v>
      </c>
      <c r="AB10" s="31">
        <f>IF(OR(Assumptions!$B$43="Tax Allowance Only",Assumptions!$B$43="Holiday + Allowance"),Assumptions!AB73,0)</f>
        <v>0</v>
      </c>
      <c r="AC10" s="31">
        <f>IF(OR(Assumptions!$B$43="Tax Allowance Only",Assumptions!$B$43="Holiday + Allowance"),Assumptions!AC73,0)</f>
        <v>0</v>
      </c>
      <c r="AD10" s="31">
        <f>IF(OR(Assumptions!$B$43="Tax Allowance Only",Assumptions!$B$43="Holiday + Allowance"),Assumptions!AD73,0)</f>
        <v>0</v>
      </c>
      <c r="AE10" s="31">
        <f>IF(OR(Assumptions!$B$43="Tax Allowance Only",Assumptions!$B$43="Holiday + Allowance"),Assumptions!AE73,0)</f>
        <v>0</v>
      </c>
      <c r="AF10" s="31">
        <f>IF(OR(Assumptions!$B$43="Tax Allowance Only",Assumptions!$B$43="Holiday + Allowance"),Assumptions!AF73,0)</f>
        <v>0</v>
      </c>
      <c r="AG10" s="31">
        <f>IF(OR(Assumptions!$B$43="Tax Allowance Only",Assumptions!$B$43="Holiday + Allowance"),Assumptions!AG73,0)</f>
        <v>0</v>
      </c>
      <c r="AH10" s="31">
        <f>IF(OR(Assumptions!$B$43="Tax Allowance Only",Assumptions!$B$43="Holiday + Allowance"),Assumptions!AH73,0)</f>
        <v>0</v>
      </c>
      <c r="AI10" s="31">
        <f>IF(OR(Assumptions!$B$43="Tax Allowance Only",Assumptions!$B$43="Holiday + Allowance"),Assumptions!AI73,0)</f>
        <v>0</v>
      </c>
      <c r="AJ10" s="31">
        <f>IF(OR(Assumptions!$B$43="Tax Allowance Only",Assumptions!$B$43="Holiday + Allowance"),Assumptions!AJ73,0)</f>
        <v>0</v>
      </c>
      <c r="AK10" s="31">
        <f>IF(OR(Assumptions!$B$43="Tax Allowance Only",Assumptions!$B$43="Holiday + Allowance"),Assumptions!AK73,0)</f>
        <v>0</v>
      </c>
      <c r="AL10" s="31">
        <f>IF(OR(Assumptions!$B$43="Tax Allowance Only",Assumptions!$B$43="Holiday + Allowance"),Assumptions!AL73,0)</f>
        <v>0</v>
      </c>
      <c r="AM10" s="31">
        <f>IF(OR(Assumptions!$B$43="Tax Allowance Only",Assumptions!$B$43="Holiday + Allowance"),Assumptions!AM73,0)</f>
        <v>0</v>
      </c>
      <c r="AN10" s="31">
        <f>IF(OR(Assumptions!$B$43="Tax Allowance Only",Assumptions!$B$43="Holiday + Allowance"),Assumptions!AN73,0)</f>
        <v>0</v>
      </c>
      <c r="AO10" s="31">
        <f>IF(OR(Assumptions!$B$43="Tax Allowance Only",Assumptions!$B$43="Holiday + Allowance"),Assumptions!AO73,0)</f>
        <v>0</v>
      </c>
      <c r="AP10" s="31">
        <f>IF(OR(Assumptions!$B$43="Tax Allowance Only",Assumptions!$B$43="Holiday + Allowance"),Assumptions!AP73,0)</f>
        <v>0</v>
      </c>
      <c r="AQ10" s="31">
        <f>IF(OR(Assumptions!$B$43="Tax Allowance Only",Assumptions!$B$43="Holiday + Allowance"),Assumptions!AQ73,0)</f>
        <v>0</v>
      </c>
    </row>
    <row r="11" spans="1:43" ht="15" customHeight="1" x14ac:dyDescent="0.3">
      <c r="A11" s="3" t="s">
        <v>111</v>
      </c>
      <c r="D11" s="26">
        <f>D10*(Assumptions!$B$19*Assumptions!$B$38/Assumptions!$B$39)</f>
        <v>0</v>
      </c>
      <c r="E11" s="26">
        <f>E10*(Assumptions!$B$19*Assumptions!$B$38/Assumptions!$B$39)</f>
        <v>0</v>
      </c>
      <c r="F11" s="26">
        <f>F10*(Assumptions!$B$19*Assumptions!$B$38/Assumptions!$B$39)</f>
        <v>0</v>
      </c>
      <c r="G11" s="26">
        <f>G10*(Assumptions!$B$19*Assumptions!$B$38/Assumptions!$B$39)</f>
        <v>12.375</v>
      </c>
      <c r="H11" s="26">
        <f>H10*(Assumptions!$B$19*Assumptions!$B$38/Assumptions!$B$39)</f>
        <v>12.375</v>
      </c>
      <c r="I11" s="26">
        <f>I10*(Assumptions!$B$19*Assumptions!$B$38/Assumptions!$B$39)</f>
        <v>12.375</v>
      </c>
      <c r="J11" s="26">
        <f>J10*(Assumptions!$B$19*Assumptions!$B$38/Assumptions!$B$39)</f>
        <v>12.375</v>
      </c>
      <c r="K11" s="26">
        <f>K10*(Assumptions!$B$19*Assumptions!$B$38/Assumptions!$B$39)</f>
        <v>12.375</v>
      </c>
      <c r="L11" s="26">
        <f>L10*(Assumptions!$B$19*Assumptions!$B$38/Assumptions!$B$39)</f>
        <v>12.375</v>
      </c>
      <c r="M11" s="26">
        <f>M10*(Assumptions!$B$19*Assumptions!$B$38/Assumptions!$B$39)</f>
        <v>0</v>
      </c>
      <c r="N11" s="26">
        <f>N10*(Assumptions!$B$19*Assumptions!$B$38/Assumptions!$B$39)</f>
        <v>0</v>
      </c>
      <c r="O11" s="26">
        <f>O10*(Assumptions!$B$19*Assumptions!$B$38/Assumptions!$B$39)</f>
        <v>0</v>
      </c>
      <c r="P11" s="26">
        <f>P10*(Assumptions!$B$19*Assumptions!$B$38/Assumptions!$B$39)</f>
        <v>0</v>
      </c>
      <c r="Q11" s="26">
        <f>Q10*(Assumptions!$B$19*Assumptions!$B$38/Assumptions!$B$39)</f>
        <v>0</v>
      </c>
      <c r="R11" s="26">
        <f>R10*(Assumptions!$B$19*Assumptions!$B$38/Assumptions!$B$39)</f>
        <v>0</v>
      </c>
      <c r="S11" s="26">
        <f>S10*(Assumptions!$B$19*Assumptions!$B$38/Assumptions!$B$39)</f>
        <v>0</v>
      </c>
      <c r="T11" s="26">
        <f>T10*(Assumptions!$B$19*Assumptions!$B$38/Assumptions!$B$39)</f>
        <v>0</v>
      </c>
      <c r="U11" s="26">
        <f>U10*(Assumptions!$B$19*Assumptions!$B$38/Assumptions!$B$39)</f>
        <v>0</v>
      </c>
      <c r="V11" s="26">
        <f>V10*(Assumptions!$B$19*Assumptions!$B$38/Assumptions!$B$39)</f>
        <v>0</v>
      </c>
      <c r="W11" s="26">
        <f>W10*(Assumptions!$B$19*Assumptions!$B$38/Assumptions!$B$39)</f>
        <v>0</v>
      </c>
      <c r="X11" s="26">
        <f>X10*(Assumptions!$B$19*Assumptions!$B$38/Assumptions!$B$39)</f>
        <v>0</v>
      </c>
      <c r="Y11" s="26">
        <f>Y10*(Assumptions!$B$19*Assumptions!$B$38/Assumptions!$B$39)</f>
        <v>0</v>
      </c>
      <c r="Z11" s="26">
        <f>Z10*(Assumptions!$B$19*Assumptions!$B$38/Assumptions!$B$39)</f>
        <v>0</v>
      </c>
      <c r="AA11" s="26">
        <f>AA10*(Assumptions!$B$19*Assumptions!$B$38/Assumptions!$B$39)</f>
        <v>0</v>
      </c>
      <c r="AB11" s="26">
        <f>AB10*(Assumptions!$B$19*Assumptions!$B$38/Assumptions!$B$39)</f>
        <v>0</v>
      </c>
      <c r="AC11" s="26">
        <f>AC10*(Assumptions!$B$19*Assumptions!$B$38/Assumptions!$B$39)</f>
        <v>0</v>
      </c>
      <c r="AD11" s="26">
        <f>AD10*(Assumptions!$B$19*Assumptions!$B$38/Assumptions!$B$39)</f>
        <v>0</v>
      </c>
      <c r="AE11" s="26">
        <f>AE10*(Assumptions!$B$19*Assumptions!$B$38/Assumptions!$B$39)</f>
        <v>0</v>
      </c>
      <c r="AF11" s="26">
        <f>AF10*(Assumptions!$B$19*Assumptions!$B$38/Assumptions!$B$39)</f>
        <v>0</v>
      </c>
      <c r="AG11" s="26">
        <f>AG10*(Assumptions!$B$19*Assumptions!$B$38/Assumptions!$B$39)</f>
        <v>0</v>
      </c>
      <c r="AH11" s="26">
        <f>AH10*(Assumptions!$B$19*Assumptions!$B$38/Assumptions!$B$39)</f>
        <v>0</v>
      </c>
      <c r="AI11" s="26">
        <f>AI10*(Assumptions!$B$19*Assumptions!$B$38/Assumptions!$B$39)</f>
        <v>0</v>
      </c>
      <c r="AJ11" s="26">
        <f>AJ10*(Assumptions!$B$19*Assumptions!$B$38/Assumptions!$B$39)</f>
        <v>0</v>
      </c>
      <c r="AK11" s="26">
        <f>AK10*(Assumptions!$B$19*Assumptions!$B$38/Assumptions!$B$39)</f>
        <v>0</v>
      </c>
      <c r="AL11" s="26">
        <f>AL10*(Assumptions!$B$19*Assumptions!$B$38/Assumptions!$B$39)</f>
        <v>0</v>
      </c>
      <c r="AM11" s="26">
        <f>AM10*(Assumptions!$B$19*Assumptions!$B$38/Assumptions!$B$39)</f>
        <v>0</v>
      </c>
      <c r="AN11" s="26">
        <f>AN10*(Assumptions!$B$19*Assumptions!$B$38/Assumptions!$B$39)</f>
        <v>0</v>
      </c>
      <c r="AO11" s="26">
        <f>AO10*(Assumptions!$B$19*Assumptions!$B$38/Assumptions!$B$39)</f>
        <v>0</v>
      </c>
      <c r="AP11" s="26">
        <f>AP10*(Assumptions!$B$19*Assumptions!$B$38/Assumptions!$B$39)</f>
        <v>0</v>
      </c>
      <c r="AQ11" s="26">
        <f>AQ10*(Assumptions!$B$19*Assumptions!$B$38/Assumptions!$B$39)</f>
        <v>0</v>
      </c>
    </row>
    <row r="12" spans="1:43" ht="15" customHeight="1" x14ac:dyDescent="0.3">
      <c r="A12" s="3" t="s">
        <v>112</v>
      </c>
      <c r="D12" s="26">
        <f>IF(AND(D6&lt;&gt;"",D6&lt;=Assumptions!$B$40),Assumptions!$B$19/Assumptions!$B$40,0)</f>
        <v>0</v>
      </c>
      <c r="E12" s="26">
        <f>IF(AND(E6&lt;&gt;"",E6&lt;=Assumptions!$B$40),Assumptions!$B$19/Assumptions!$B$40,0)</f>
        <v>0</v>
      </c>
      <c r="F12" s="26">
        <f>IF(AND(F6&lt;&gt;"",F6&lt;=Assumptions!$B$40),Assumptions!$B$19/Assumptions!$B$40,0)</f>
        <v>0</v>
      </c>
      <c r="G12" s="26">
        <f>IF(AND(G6&lt;&gt;"",G6&lt;=Assumptions!$B$40),Assumptions!$B$19/Assumptions!$B$40,0)</f>
        <v>12.375</v>
      </c>
      <c r="H12" s="26">
        <f>IF(AND(H6&lt;&gt;"",H6&lt;=Assumptions!$B$40),Assumptions!$B$19/Assumptions!$B$40,0)</f>
        <v>12.375</v>
      </c>
      <c r="I12" s="26">
        <f>IF(AND(I6&lt;&gt;"",I6&lt;=Assumptions!$B$40),Assumptions!$B$19/Assumptions!$B$40,0)</f>
        <v>12.375</v>
      </c>
      <c r="J12" s="26">
        <f>IF(AND(J6&lt;&gt;"",J6&lt;=Assumptions!$B$40),Assumptions!$B$19/Assumptions!$B$40,0)</f>
        <v>12.375</v>
      </c>
      <c r="K12" s="26">
        <f>IF(AND(K6&lt;&gt;"",K6&lt;=Assumptions!$B$40),Assumptions!$B$19/Assumptions!$B$40,0)</f>
        <v>12.375</v>
      </c>
      <c r="L12" s="26">
        <f>IF(AND(L6&lt;&gt;"",L6&lt;=Assumptions!$B$40),Assumptions!$B$19/Assumptions!$B$40,0)</f>
        <v>12.375</v>
      </c>
      <c r="M12" s="26">
        <f>IF(AND(M6&lt;&gt;"",M6&lt;=Assumptions!$B$40),Assumptions!$B$19/Assumptions!$B$40,0)</f>
        <v>12.375</v>
      </c>
      <c r="N12" s="26">
        <f>IF(AND(N6&lt;&gt;"",N6&lt;=Assumptions!$B$40),Assumptions!$B$19/Assumptions!$B$40,0)</f>
        <v>12.375</v>
      </c>
      <c r="O12" s="26">
        <f>IF(AND(O6&lt;&gt;"",O6&lt;=Assumptions!$B$40),Assumptions!$B$19/Assumptions!$B$40,0)</f>
        <v>12.375</v>
      </c>
      <c r="P12" s="26">
        <f>IF(AND(P6&lt;&gt;"",P6&lt;=Assumptions!$B$40),Assumptions!$B$19/Assumptions!$B$40,0)</f>
        <v>12.375</v>
      </c>
      <c r="Q12" s="26">
        <f>IF(AND(Q6&lt;&gt;"",Q6&lt;=Assumptions!$B$40),Assumptions!$B$19/Assumptions!$B$40,0)</f>
        <v>12.375</v>
      </c>
      <c r="R12" s="26">
        <f>IF(AND(R6&lt;&gt;"",R6&lt;=Assumptions!$B$40),Assumptions!$B$19/Assumptions!$B$40,0)</f>
        <v>12.375</v>
      </c>
      <c r="S12" s="26">
        <f>IF(AND(S6&lt;&gt;"",S6&lt;=Assumptions!$B$40),Assumptions!$B$19/Assumptions!$B$40,0)</f>
        <v>12.375</v>
      </c>
      <c r="T12" s="26">
        <f>IF(AND(T6&lt;&gt;"",T6&lt;=Assumptions!$B$40),Assumptions!$B$19/Assumptions!$B$40,0)</f>
        <v>12.375</v>
      </c>
      <c r="U12" s="26">
        <f>IF(AND(U6&lt;&gt;"",U6&lt;=Assumptions!$B$40),Assumptions!$B$19/Assumptions!$B$40,0)</f>
        <v>12.375</v>
      </c>
      <c r="V12" s="26">
        <f>IF(AND(V6&lt;&gt;"",V6&lt;=Assumptions!$B$40),Assumptions!$B$19/Assumptions!$B$40,0)</f>
        <v>12.375</v>
      </c>
      <c r="W12" s="26">
        <f>IF(AND(W6&lt;&gt;"",W6&lt;=Assumptions!$B$40),Assumptions!$B$19/Assumptions!$B$40,0)</f>
        <v>12.375</v>
      </c>
      <c r="X12" s="26">
        <f>IF(AND(X6&lt;&gt;"",X6&lt;=Assumptions!$B$40),Assumptions!$B$19/Assumptions!$B$40,0)</f>
        <v>12.375</v>
      </c>
      <c r="Y12" s="26">
        <f>IF(AND(Y6&lt;&gt;"",Y6&lt;=Assumptions!$B$40),Assumptions!$B$19/Assumptions!$B$40,0)</f>
        <v>12.375</v>
      </c>
      <c r="Z12" s="26">
        <f>IF(AND(Z6&lt;&gt;"",Z6&lt;=Assumptions!$B$40),Assumptions!$B$19/Assumptions!$B$40,0)</f>
        <v>12.375</v>
      </c>
      <c r="AA12" s="26">
        <f>IF(AND(AA6&lt;&gt;"",AA6&lt;=Assumptions!$B$40),Assumptions!$B$19/Assumptions!$B$40,0)</f>
        <v>0</v>
      </c>
      <c r="AB12" s="26">
        <f>IF(AND(AB6&lt;&gt;"",AB6&lt;=Assumptions!$B$40),Assumptions!$B$19/Assumptions!$B$40,0)</f>
        <v>0</v>
      </c>
      <c r="AC12" s="26">
        <f>IF(AND(AC6&lt;&gt;"",AC6&lt;=Assumptions!$B$40),Assumptions!$B$19/Assumptions!$B$40,0)</f>
        <v>0</v>
      </c>
      <c r="AD12" s="26">
        <f>IF(AND(AD6&lt;&gt;"",AD6&lt;=Assumptions!$B$40),Assumptions!$B$19/Assumptions!$B$40,0)</f>
        <v>0</v>
      </c>
      <c r="AE12" s="26">
        <f>IF(AND(AE6&lt;&gt;"",AE6&lt;=Assumptions!$B$40),Assumptions!$B$19/Assumptions!$B$40,0)</f>
        <v>0</v>
      </c>
      <c r="AF12" s="26">
        <f>IF(AND(AF6&lt;&gt;"",AF6&lt;=Assumptions!$B$40),Assumptions!$B$19/Assumptions!$B$40,0)</f>
        <v>0</v>
      </c>
      <c r="AG12" s="26">
        <f>IF(AND(AG6&lt;&gt;"",AG6&lt;=Assumptions!$B$40),Assumptions!$B$19/Assumptions!$B$40,0)</f>
        <v>0</v>
      </c>
      <c r="AH12" s="26">
        <f>IF(AND(AH6&lt;&gt;"",AH6&lt;=Assumptions!$B$40),Assumptions!$B$19/Assumptions!$B$40,0)</f>
        <v>0</v>
      </c>
      <c r="AI12" s="26">
        <f>IF(AND(AI6&lt;&gt;"",AI6&lt;=Assumptions!$B$40),Assumptions!$B$19/Assumptions!$B$40,0)</f>
        <v>0</v>
      </c>
      <c r="AJ12" s="26">
        <f>IF(AND(AJ6&lt;&gt;"",AJ6&lt;=Assumptions!$B$40),Assumptions!$B$19/Assumptions!$B$40,0)</f>
        <v>0</v>
      </c>
      <c r="AK12" s="26">
        <f>IF(AND(AK6&lt;&gt;"",AK6&lt;=Assumptions!$B$40),Assumptions!$B$19/Assumptions!$B$40,0)</f>
        <v>0</v>
      </c>
      <c r="AL12" s="26">
        <f>IF(AND(AL6&lt;&gt;"",AL6&lt;=Assumptions!$B$40),Assumptions!$B$19/Assumptions!$B$40,0)</f>
        <v>0</v>
      </c>
      <c r="AM12" s="26">
        <f>IF(AND(AM6&lt;&gt;"",AM6&lt;=Assumptions!$B$40),Assumptions!$B$19/Assumptions!$B$40,0)</f>
        <v>0</v>
      </c>
      <c r="AN12" s="26">
        <f>IF(AND(AN6&lt;&gt;"",AN6&lt;=Assumptions!$B$40),Assumptions!$B$19/Assumptions!$B$40,0)</f>
        <v>0</v>
      </c>
      <c r="AO12" s="26">
        <f>IF(AND(AO6&lt;&gt;"",AO6&lt;=Assumptions!$B$40),Assumptions!$B$19/Assumptions!$B$40,0)</f>
        <v>0</v>
      </c>
      <c r="AP12" s="26">
        <f>IF(AND(AP6&lt;&gt;"",AP6&lt;=Assumptions!$B$40),Assumptions!$B$19/Assumptions!$B$40,0)</f>
        <v>0</v>
      </c>
      <c r="AQ12" s="26">
        <f>IF(AND(AQ6&lt;&gt;"",AQ6&lt;=Assumptions!$B$40),Assumptions!$B$19/Assumptions!$B$40,0)</f>
        <v>0</v>
      </c>
    </row>
    <row r="13" spans="1:43" ht="15" customHeight="1" x14ac:dyDescent="0.3">
      <c r="A13" s="3" t="s">
        <v>113</v>
      </c>
      <c r="D13" s="26">
        <f>IF(AND(D6&lt;&gt;"",D6&lt;=Assumptions!$B$41),Assumptions!$B$19/Assumptions!$B$41,0)</f>
        <v>0</v>
      </c>
      <c r="E13" s="26">
        <f>IF(AND(E6&lt;&gt;"",E6&lt;=Assumptions!$B$41),Assumptions!$B$19/Assumptions!$B$41,0)</f>
        <v>0</v>
      </c>
      <c r="F13" s="26">
        <f>IF(AND(F6&lt;&gt;"",F6&lt;=Assumptions!$B$41),Assumptions!$B$19/Assumptions!$B$41,0)</f>
        <v>0</v>
      </c>
      <c r="G13" s="26">
        <f>IF(AND(G6&lt;&gt;"",G6&lt;=Assumptions!$B$41),Assumptions!$B$19/Assumptions!$B$41,0)</f>
        <v>8.25</v>
      </c>
      <c r="H13" s="26">
        <f>IF(AND(H6&lt;&gt;"",H6&lt;=Assumptions!$B$41),Assumptions!$B$19/Assumptions!$B$41,0)</f>
        <v>8.25</v>
      </c>
      <c r="I13" s="26">
        <f>IF(AND(I6&lt;&gt;"",I6&lt;=Assumptions!$B$41),Assumptions!$B$19/Assumptions!$B$41,0)</f>
        <v>8.25</v>
      </c>
      <c r="J13" s="26">
        <f>IF(AND(J6&lt;&gt;"",J6&lt;=Assumptions!$B$41),Assumptions!$B$19/Assumptions!$B$41,0)</f>
        <v>8.25</v>
      </c>
      <c r="K13" s="26">
        <f>IF(AND(K6&lt;&gt;"",K6&lt;=Assumptions!$B$41),Assumptions!$B$19/Assumptions!$B$41,0)</f>
        <v>8.25</v>
      </c>
      <c r="L13" s="26">
        <f>IF(AND(L6&lt;&gt;"",L6&lt;=Assumptions!$B$41),Assumptions!$B$19/Assumptions!$B$41,0)</f>
        <v>8.25</v>
      </c>
      <c r="M13" s="26">
        <f>IF(AND(M6&lt;&gt;"",M6&lt;=Assumptions!$B$41),Assumptions!$B$19/Assumptions!$B$41,0)</f>
        <v>8.25</v>
      </c>
      <c r="N13" s="26">
        <f>IF(AND(N6&lt;&gt;"",N6&lt;=Assumptions!$B$41),Assumptions!$B$19/Assumptions!$B$41,0)</f>
        <v>8.25</v>
      </c>
      <c r="O13" s="26">
        <f>IF(AND(O6&lt;&gt;"",O6&lt;=Assumptions!$B$41),Assumptions!$B$19/Assumptions!$B$41,0)</f>
        <v>8.25</v>
      </c>
      <c r="P13" s="26">
        <f>IF(AND(P6&lt;&gt;"",P6&lt;=Assumptions!$B$41),Assumptions!$B$19/Assumptions!$B$41,0)</f>
        <v>8.25</v>
      </c>
      <c r="Q13" s="26">
        <f>IF(AND(Q6&lt;&gt;"",Q6&lt;=Assumptions!$B$41),Assumptions!$B$19/Assumptions!$B$41,0)</f>
        <v>8.25</v>
      </c>
      <c r="R13" s="26">
        <f>IF(AND(R6&lt;&gt;"",R6&lt;=Assumptions!$B$41),Assumptions!$B$19/Assumptions!$B$41,0)</f>
        <v>8.25</v>
      </c>
      <c r="S13" s="26">
        <f>IF(AND(S6&lt;&gt;"",S6&lt;=Assumptions!$B$41),Assumptions!$B$19/Assumptions!$B$41,0)</f>
        <v>8.25</v>
      </c>
      <c r="T13" s="26">
        <f>IF(AND(T6&lt;&gt;"",T6&lt;=Assumptions!$B$41),Assumptions!$B$19/Assumptions!$B$41,0)</f>
        <v>8.25</v>
      </c>
      <c r="U13" s="26">
        <f>IF(AND(U6&lt;&gt;"",U6&lt;=Assumptions!$B$41),Assumptions!$B$19/Assumptions!$B$41,0)</f>
        <v>8.25</v>
      </c>
      <c r="V13" s="26">
        <f>IF(AND(V6&lt;&gt;"",V6&lt;=Assumptions!$B$41),Assumptions!$B$19/Assumptions!$B$41,0)</f>
        <v>8.25</v>
      </c>
      <c r="W13" s="26">
        <f>IF(AND(W6&lt;&gt;"",W6&lt;=Assumptions!$B$41),Assumptions!$B$19/Assumptions!$B$41,0)</f>
        <v>8.25</v>
      </c>
      <c r="X13" s="26">
        <f>IF(AND(X6&lt;&gt;"",X6&lt;=Assumptions!$B$41),Assumptions!$B$19/Assumptions!$B$41,0)</f>
        <v>8.25</v>
      </c>
      <c r="Y13" s="26">
        <f>IF(AND(Y6&lt;&gt;"",Y6&lt;=Assumptions!$B$41),Assumptions!$B$19/Assumptions!$B$41,0)</f>
        <v>8.25</v>
      </c>
      <c r="Z13" s="26">
        <f>IF(AND(Z6&lt;&gt;"",Z6&lt;=Assumptions!$B$41),Assumptions!$B$19/Assumptions!$B$41,0)</f>
        <v>8.25</v>
      </c>
      <c r="AA13" s="26">
        <f>IF(AND(AA6&lt;&gt;"",AA6&lt;=Assumptions!$B$41),Assumptions!$B$19/Assumptions!$B$41,0)</f>
        <v>8.25</v>
      </c>
      <c r="AB13" s="26">
        <f>IF(AND(AB6&lt;&gt;"",AB6&lt;=Assumptions!$B$41),Assumptions!$B$19/Assumptions!$B$41,0)</f>
        <v>8.25</v>
      </c>
      <c r="AC13" s="26">
        <f>IF(AND(AC6&lt;&gt;"",AC6&lt;=Assumptions!$B$41),Assumptions!$B$19/Assumptions!$B$41,0)</f>
        <v>8.25</v>
      </c>
      <c r="AD13" s="26">
        <f>IF(AND(AD6&lt;&gt;"",AD6&lt;=Assumptions!$B$41),Assumptions!$B$19/Assumptions!$B$41,0)</f>
        <v>8.25</v>
      </c>
      <c r="AE13" s="26">
        <f>IF(AND(AE6&lt;&gt;"",AE6&lt;=Assumptions!$B$41),Assumptions!$B$19/Assumptions!$B$41,0)</f>
        <v>8.25</v>
      </c>
      <c r="AF13" s="26">
        <f>IF(AND(AF6&lt;&gt;"",AF6&lt;=Assumptions!$B$41),Assumptions!$B$19/Assumptions!$B$41,0)</f>
        <v>8.25</v>
      </c>
      <c r="AG13" s="26">
        <f>IF(AND(AG6&lt;&gt;"",AG6&lt;=Assumptions!$B$41),Assumptions!$B$19/Assumptions!$B$41,0)</f>
        <v>8.25</v>
      </c>
      <c r="AH13" s="26">
        <f>IF(AND(AH6&lt;&gt;"",AH6&lt;=Assumptions!$B$41),Assumptions!$B$19/Assumptions!$B$41,0)</f>
        <v>8.25</v>
      </c>
      <c r="AI13" s="26">
        <f>IF(AND(AI6&lt;&gt;"",AI6&lt;=Assumptions!$B$41),Assumptions!$B$19/Assumptions!$B$41,0)</f>
        <v>8.25</v>
      </c>
      <c r="AJ13" s="26">
        <f>IF(AND(AJ6&lt;&gt;"",AJ6&lt;=Assumptions!$B$41),Assumptions!$B$19/Assumptions!$B$41,0)</f>
        <v>8.25</v>
      </c>
      <c r="AK13" s="26">
        <f>IF(AND(AK6&lt;&gt;"",AK6&lt;=Assumptions!$B$41),Assumptions!$B$19/Assumptions!$B$41,0)</f>
        <v>0</v>
      </c>
      <c r="AL13" s="26">
        <f>IF(AND(AL6&lt;&gt;"",AL6&lt;=Assumptions!$B$41),Assumptions!$B$19/Assumptions!$B$41,0)</f>
        <v>0</v>
      </c>
      <c r="AM13" s="26">
        <f>IF(AND(AM6&lt;&gt;"",AM6&lt;=Assumptions!$B$41),Assumptions!$B$19/Assumptions!$B$41,0)</f>
        <v>0</v>
      </c>
      <c r="AN13" s="26">
        <f>IF(AND(AN6&lt;&gt;"",AN6&lt;=Assumptions!$B$41),Assumptions!$B$19/Assumptions!$B$41,0)</f>
        <v>0</v>
      </c>
      <c r="AO13" s="26">
        <f>IF(AND(AO6&lt;&gt;"",AO6&lt;=Assumptions!$B$41),Assumptions!$B$19/Assumptions!$B$41,0)</f>
        <v>0</v>
      </c>
      <c r="AP13" s="26">
        <f>IF(AND(AP6&lt;&gt;"",AP6&lt;=Assumptions!$B$41),Assumptions!$B$19/Assumptions!$B$41,0)</f>
        <v>0</v>
      </c>
      <c r="AQ13" s="26">
        <f>IF(AND(AQ6&lt;&gt;"",AQ6&lt;=Assumptions!$B$41),Assumptions!$B$19/Assumptions!$B$41,0)</f>
        <v>0</v>
      </c>
    </row>
    <row r="15" spans="1:43" ht="18" customHeight="1" x14ac:dyDescent="0.3">
      <c r="A15" s="51" t="s">
        <v>114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</row>
    <row r="16" spans="1:43" ht="15" customHeight="1" x14ac:dyDescent="0.3">
      <c r="A16" s="3" t="s">
        <v>115</v>
      </c>
      <c r="D16" s="27">
        <f>Revenue_OPEX!D19</f>
        <v>0</v>
      </c>
      <c r="E16" s="27">
        <f>Revenue_OPEX!E19</f>
        <v>0</v>
      </c>
      <c r="F16" s="27">
        <f>Revenue_OPEX!F19</f>
        <v>0</v>
      </c>
      <c r="G16" s="27">
        <f>Revenue_OPEX!G19</f>
        <v>19.012068899999999</v>
      </c>
      <c r="H16" s="27">
        <f>Revenue_OPEX!H19</f>
        <v>19.392310278</v>
      </c>
      <c r="I16" s="27">
        <f>Revenue_OPEX!I19</f>
        <v>19.780156483559999</v>
      </c>
      <c r="J16" s="27">
        <f>Revenue_OPEX!J19</f>
        <v>20.175759613231193</v>
      </c>
      <c r="K16" s="27">
        <f>Revenue_OPEX!K19</f>
        <v>20.579274805495821</v>
      </c>
      <c r="L16" s="27">
        <f>Revenue_OPEX!L19</f>
        <v>20.990860301605736</v>
      </c>
      <c r="M16" s="27">
        <f>Revenue_OPEX!M19</f>
        <v>21.41067750763786</v>
      </c>
      <c r="N16" s="27">
        <f>Revenue_OPEX!N19</f>
        <v>21.838891057790608</v>
      </c>
      <c r="O16" s="27">
        <f>Revenue_OPEX!O19</f>
        <v>22.275668878946426</v>
      </c>
      <c r="P16" s="27">
        <f>Revenue_OPEX!P19</f>
        <v>22.721182256525349</v>
      </c>
      <c r="Q16" s="27">
        <f>Revenue_OPEX!Q19</f>
        <v>23.17560590165586</v>
      </c>
      <c r="R16" s="27">
        <f>Revenue_OPEX!R19</f>
        <v>23.639118019688972</v>
      </c>
      <c r="S16" s="27">
        <f>Revenue_OPEX!S19</f>
        <v>24.111900380082751</v>
      </c>
      <c r="T16" s="27">
        <f>Revenue_OPEX!T19</f>
        <v>24.594138387684406</v>
      </c>
      <c r="U16" s="27">
        <f>Revenue_OPEX!U19</f>
        <v>25.086021155438097</v>
      </c>
      <c r="V16" s="27">
        <f>Revenue_OPEX!V19</f>
        <v>25.587741578546858</v>
      </c>
      <c r="W16" s="27">
        <f>Revenue_OPEX!W19</f>
        <v>26.099496410117798</v>
      </c>
      <c r="X16" s="27">
        <f>Revenue_OPEX!X19</f>
        <v>26.621486338320153</v>
      </c>
      <c r="Y16" s="27">
        <f>Revenue_OPEX!Y19</f>
        <v>27.153916065086552</v>
      </c>
      <c r="Z16" s="27">
        <f>Revenue_OPEX!Z19</f>
        <v>27.696994386388287</v>
      </c>
      <c r="AA16" s="27">
        <f>Revenue_OPEX!AA19</f>
        <v>28.250934274116052</v>
      </c>
      <c r="AB16" s="27">
        <f>Revenue_OPEX!AB19</f>
        <v>28.815952959598373</v>
      </c>
      <c r="AC16" s="27">
        <f>Revenue_OPEX!AC19</f>
        <v>29.392272018790337</v>
      </c>
      <c r="AD16" s="27">
        <f>Revenue_OPEX!AD19</f>
        <v>29.980117459166141</v>
      </c>
      <c r="AE16" s="27">
        <f>Revenue_OPEX!AE19</f>
        <v>30.579719808349466</v>
      </c>
      <c r="AF16" s="27">
        <f>Revenue_OPEX!AF19</f>
        <v>31.191314204516452</v>
      </c>
      <c r="AG16" s="27">
        <f>Revenue_OPEX!AG19</f>
        <v>31.815140488606787</v>
      </c>
      <c r="AH16" s="27">
        <f>Revenue_OPEX!AH19</f>
        <v>32.451443298378919</v>
      </c>
      <c r="AI16" s="27">
        <f>Revenue_OPEX!AI19</f>
        <v>33.100472164346506</v>
      </c>
      <c r="AJ16" s="27">
        <f>Revenue_OPEX!AJ19</f>
        <v>33.762481607633433</v>
      </c>
      <c r="AK16" s="27">
        <f>Revenue_OPEX!AK19</f>
        <v>0</v>
      </c>
      <c r="AL16" s="27">
        <f>Revenue_OPEX!AL19</f>
        <v>0</v>
      </c>
      <c r="AM16" s="27">
        <f>Revenue_OPEX!AM19</f>
        <v>0</v>
      </c>
      <c r="AN16" s="27">
        <f>Revenue_OPEX!AN19</f>
        <v>0</v>
      </c>
      <c r="AO16" s="27">
        <f>Revenue_OPEX!AO19</f>
        <v>0</v>
      </c>
      <c r="AP16" s="27">
        <f>Revenue_OPEX!AP19</f>
        <v>0</v>
      </c>
      <c r="AQ16" s="27">
        <f>Revenue_OPEX!AQ19</f>
        <v>0</v>
      </c>
    </row>
    <row r="17" spans="1:43" ht="15" customHeight="1" x14ac:dyDescent="0.3">
      <c r="A17" s="3" t="s">
        <v>116</v>
      </c>
      <c r="D17" s="27">
        <f>Debt!D23</f>
        <v>0</v>
      </c>
      <c r="E17" s="27">
        <f>Debt!E23</f>
        <v>0</v>
      </c>
      <c r="F17" s="27">
        <f>Debt!F23</f>
        <v>0</v>
      </c>
      <c r="G17" s="27">
        <f ca="1">Debt!G23</f>
        <v>9.8631599086056703</v>
      </c>
      <c r="H17" s="27">
        <f ca="1">Debt!H23</f>
        <v>9.5731747576650399</v>
      </c>
      <c r="I17" s="27">
        <f ca="1">Debt!I23</f>
        <v>9.2457187610132667</v>
      </c>
      <c r="J17" s="27">
        <f ca="1">Debt!J23</f>
        <v>8.8779838774611282</v>
      </c>
      <c r="K17" s="27">
        <f ca="1">Debt!K23</f>
        <v>8.4669720944177396</v>
      </c>
      <c r="L17" s="27">
        <f ca="1">Debt!L23</f>
        <v>8.0094829307749524</v>
      </c>
      <c r="M17" s="27">
        <f ca="1">Debt!M23</f>
        <v>7.5021001244998375</v>
      </c>
      <c r="N17" s="27">
        <f ca="1">Debt!N23</f>
        <v>6.9411774518812814</v>
      </c>
      <c r="O17" s="27">
        <f ca="1">Debt!O23</f>
        <v>6.322823621928265</v>
      </c>
      <c r="P17" s="27">
        <f ca="1">Debt!P23</f>
        <v>5.6428861857418786</v>
      </c>
      <c r="Q17" s="27">
        <f ca="1">Debt!Q23</f>
        <v>4.8969343967710257</v>
      </c>
      <c r="R17" s="27">
        <f ca="1">Debt!R23</f>
        <v>4.0802409536962596</v>
      </c>
      <c r="S17" s="27">
        <f ca="1">Debt!S23</f>
        <v>3.1877625532443714</v>
      </c>
      <c r="T17" s="27">
        <f ca="1">Debt!T23</f>
        <v>2.2141191755142309</v>
      </c>
      <c r="U17" s="27">
        <f ca="1">Debt!U23</f>
        <v>1.1535720193578127</v>
      </c>
      <c r="V17" s="27">
        <f>Debt!V23</f>
        <v>0</v>
      </c>
      <c r="W17" s="27">
        <f>Debt!W23</f>
        <v>0</v>
      </c>
      <c r="X17" s="27">
        <f>Debt!X23</f>
        <v>0</v>
      </c>
      <c r="Y17" s="27">
        <f>Debt!Y23</f>
        <v>0</v>
      </c>
      <c r="Z17" s="27">
        <f>Debt!Z23</f>
        <v>0</v>
      </c>
      <c r="AA17" s="27">
        <f>Debt!AA23</f>
        <v>0</v>
      </c>
      <c r="AB17" s="27">
        <f>Debt!AB23</f>
        <v>0</v>
      </c>
      <c r="AC17" s="27">
        <f>Debt!AC23</f>
        <v>0</v>
      </c>
      <c r="AD17" s="27">
        <f>Debt!AD23</f>
        <v>0</v>
      </c>
      <c r="AE17" s="27">
        <f>Debt!AE23</f>
        <v>0</v>
      </c>
      <c r="AF17" s="27">
        <f>Debt!AF23</f>
        <v>0</v>
      </c>
      <c r="AG17" s="27">
        <f>Debt!AG23</f>
        <v>0</v>
      </c>
      <c r="AH17" s="27">
        <f>Debt!AH23</f>
        <v>0</v>
      </c>
      <c r="AI17" s="27">
        <f>Debt!AI23</f>
        <v>0</v>
      </c>
      <c r="AJ17" s="27">
        <f>Debt!AJ23</f>
        <v>0</v>
      </c>
      <c r="AK17" s="27">
        <f>Debt!AK23</f>
        <v>0</v>
      </c>
      <c r="AL17" s="27">
        <f>Debt!AL23</f>
        <v>0</v>
      </c>
      <c r="AM17" s="27">
        <f>Debt!AM23</f>
        <v>0</v>
      </c>
      <c r="AN17" s="27">
        <f>Debt!AN23</f>
        <v>0</v>
      </c>
      <c r="AO17" s="27">
        <f>Debt!AO23</f>
        <v>0</v>
      </c>
      <c r="AP17" s="27">
        <f>Debt!AP23</f>
        <v>0</v>
      </c>
      <c r="AQ17" s="27">
        <f>Debt!AQ23</f>
        <v>0</v>
      </c>
    </row>
    <row r="18" spans="1:43" ht="15" customHeight="1" x14ac:dyDescent="0.3">
      <c r="A18" s="3" t="s">
        <v>117</v>
      </c>
      <c r="D18" s="26">
        <f t="shared" ref="D18:AQ18" si="0">D16-D12-D11-D17</f>
        <v>0</v>
      </c>
      <c r="E18" s="26">
        <f t="shared" si="0"/>
        <v>0</v>
      </c>
      <c r="F18" s="26">
        <f t="shared" si="0"/>
        <v>0</v>
      </c>
      <c r="G18" s="26">
        <f t="shared" ca="1" si="0"/>
        <v>-15.601091008605671</v>
      </c>
      <c r="H18" s="26">
        <f t="shared" ca="1" si="0"/>
        <v>-14.93086447966504</v>
      </c>
      <c r="I18" s="26">
        <f t="shared" ca="1" si="0"/>
        <v>-14.215562277453268</v>
      </c>
      <c r="J18" s="26">
        <f t="shared" ca="1" si="0"/>
        <v>-13.452224264229935</v>
      </c>
      <c r="K18" s="26">
        <f t="shared" ca="1" si="0"/>
        <v>-12.637697288921919</v>
      </c>
      <c r="L18" s="26">
        <f t="shared" ca="1" si="0"/>
        <v>-11.768622629169217</v>
      </c>
      <c r="M18" s="26">
        <f t="shared" ca="1" si="0"/>
        <v>1.5335773831380228</v>
      </c>
      <c r="N18" s="26">
        <f t="shared" ca="1" si="0"/>
        <v>2.5227136059093267</v>
      </c>
      <c r="O18" s="26">
        <f t="shared" ca="1" si="0"/>
        <v>3.5778452570181614</v>
      </c>
      <c r="P18" s="26">
        <f t="shared" ca="1" si="0"/>
        <v>4.7032960707834706</v>
      </c>
      <c r="Q18" s="26">
        <f t="shared" ca="1" si="0"/>
        <v>5.9036715048848345</v>
      </c>
      <c r="R18" s="26">
        <f t="shared" ca="1" si="0"/>
        <v>7.1838770659927125</v>
      </c>
      <c r="S18" s="26">
        <f t="shared" ca="1" si="0"/>
        <v>8.5491378268383791</v>
      </c>
      <c r="T18" s="26">
        <f t="shared" ca="1" si="0"/>
        <v>10.005019212170176</v>
      </c>
      <c r="U18" s="26">
        <f t="shared" ca="1" si="0"/>
        <v>11.557449136080283</v>
      </c>
      <c r="V18" s="26">
        <f t="shared" si="0"/>
        <v>13.212741578546858</v>
      </c>
      <c r="W18" s="26">
        <f t="shared" si="0"/>
        <v>13.724496410117798</v>
      </c>
      <c r="X18" s="26">
        <f t="shared" si="0"/>
        <v>14.246486338320153</v>
      </c>
      <c r="Y18" s="26">
        <f t="shared" si="0"/>
        <v>14.778916065086552</v>
      </c>
      <c r="Z18" s="26">
        <f t="shared" si="0"/>
        <v>15.321994386388287</v>
      </c>
      <c r="AA18" s="26">
        <f t="shared" si="0"/>
        <v>28.250934274116052</v>
      </c>
      <c r="AB18" s="26">
        <f t="shared" si="0"/>
        <v>28.815952959598373</v>
      </c>
      <c r="AC18" s="26">
        <f t="shared" si="0"/>
        <v>29.392272018790337</v>
      </c>
      <c r="AD18" s="26">
        <f t="shared" si="0"/>
        <v>29.980117459166141</v>
      </c>
      <c r="AE18" s="26">
        <f t="shared" si="0"/>
        <v>30.579719808349466</v>
      </c>
      <c r="AF18" s="26">
        <f t="shared" si="0"/>
        <v>31.191314204516452</v>
      </c>
      <c r="AG18" s="26">
        <f t="shared" si="0"/>
        <v>31.815140488606787</v>
      </c>
      <c r="AH18" s="26">
        <f t="shared" si="0"/>
        <v>32.451443298378919</v>
      </c>
      <c r="AI18" s="26">
        <f t="shared" si="0"/>
        <v>33.100472164346506</v>
      </c>
      <c r="AJ18" s="26">
        <f t="shared" si="0"/>
        <v>33.762481607633433</v>
      </c>
      <c r="AK18" s="26">
        <f t="shared" si="0"/>
        <v>0</v>
      </c>
      <c r="AL18" s="26">
        <f t="shared" si="0"/>
        <v>0</v>
      </c>
      <c r="AM18" s="26">
        <f t="shared" si="0"/>
        <v>0</v>
      </c>
      <c r="AN18" s="26">
        <f t="shared" si="0"/>
        <v>0</v>
      </c>
      <c r="AO18" s="26">
        <f t="shared" si="0"/>
        <v>0</v>
      </c>
      <c r="AP18" s="26">
        <f t="shared" si="0"/>
        <v>0</v>
      </c>
      <c r="AQ18" s="26">
        <f t="shared" si="0"/>
        <v>0</v>
      </c>
    </row>
    <row r="19" spans="1:43" ht="15" customHeight="1" x14ac:dyDescent="0.3">
      <c r="A19" s="3" t="s">
        <v>118</v>
      </c>
      <c r="D19" s="26" t="s">
        <v>119</v>
      </c>
      <c r="E19" s="26">
        <f t="shared" ref="E19:AQ19" si="1">D22</f>
        <v>0</v>
      </c>
      <c r="F19" s="26">
        <f t="shared" si="1"/>
        <v>0</v>
      </c>
      <c r="G19" s="26">
        <f t="shared" si="1"/>
        <v>0</v>
      </c>
      <c r="H19" s="26">
        <f t="shared" ca="1" si="1"/>
        <v>15.601091008605671</v>
      </c>
      <c r="I19" s="26">
        <f t="shared" ca="1" si="1"/>
        <v>30.531955488270711</v>
      </c>
      <c r="J19" s="26">
        <f t="shared" ca="1" si="1"/>
        <v>44.747517765723977</v>
      </c>
      <c r="K19" s="26">
        <f t="shared" ca="1" si="1"/>
        <v>58.199742029953903</v>
      </c>
      <c r="L19" s="26">
        <f t="shared" ca="1" si="1"/>
        <v>70.83743931887571</v>
      </c>
      <c r="M19" s="26">
        <f t="shared" ca="1" si="1"/>
        <v>82.606061948045138</v>
      </c>
      <c r="N19" s="26">
        <f t="shared" ca="1" si="1"/>
        <v>81.072484564906986</v>
      </c>
      <c r="O19" s="26">
        <f t="shared" ca="1" si="1"/>
        <v>78.549770958997485</v>
      </c>
      <c r="P19" s="26">
        <f t="shared" ca="1" si="1"/>
        <v>74.971925701979444</v>
      </c>
      <c r="Q19" s="26">
        <f t="shared" ca="1" si="1"/>
        <v>70.268629631195552</v>
      </c>
      <c r="R19" s="26">
        <f t="shared" ca="1" si="1"/>
        <v>64.36495812631081</v>
      </c>
      <c r="S19" s="26">
        <f t="shared" ca="1" si="1"/>
        <v>57.181081060318199</v>
      </c>
      <c r="T19" s="26">
        <f t="shared" ca="1" si="1"/>
        <v>48.631943233479774</v>
      </c>
      <c r="U19" s="26">
        <f t="shared" ca="1" si="1"/>
        <v>38.626924021309605</v>
      </c>
      <c r="V19" s="26">
        <f t="shared" ca="1" si="1"/>
        <v>27.069474885229251</v>
      </c>
      <c r="W19" s="26">
        <f t="shared" ca="1" si="1"/>
        <v>13.856733306682404</v>
      </c>
      <c r="X19" s="26">
        <f t="shared" ca="1" si="1"/>
        <v>0.13223689656457793</v>
      </c>
      <c r="Y19" s="26">
        <f t="shared" ca="1" si="1"/>
        <v>0</v>
      </c>
      <c r="Z19" s="26">
        <f t="shared" ca="1" si="1"/>
        <v>0</v>
      </c>
      <c r="AA19" s="26">
        <f t="shared" ca="1" si="1"/>
        <v>0</v>
      </c>
      <c r="AB19" s="26">
        <f t="shared" ca="1" si="1"/>
        <v>0</v>
      </c>
      <c r="AC19" s="26">
        <f t="shared" ca="1" si="1"/>
        <v>0</v>
      </c>
      <c r="AD19" s="26">
        <f t="shared" ca="1" si="1"/>
        <v>0</v>
      </c>
      <c r="AE19" s="26">
        <f t="shared" ca="1" si="1"/>
        <v>0</v>
      </c>
      <c r="AF19" s="26">
        <f t="shared" ca="1" si="1"/>
        <v>0</v>
      </c>
      <c r="AG19" s="26">
        <f t="shared" ca="1" si="1"/>
        <v>0</v>
      </c>
      <c r="AH19" s="26">
        <f t="shared" ca="1" si="1"/>
        <v>0</v>
      </c>
      <c r="AI19" s="26">
        <f t="shared" ca="1" si="1"/>
        <v>0</v>
      </c>
      <c r="AJ19" s="26">
        <f t="shared" ca="1" si="1"/>
        <v>0</v>
      </c>
      <c r="AK19" s="26">
        <f t="shared" ca="1" si="1"/>
        <v>0</v>
      </c>
      <c r="AL19" s="26">
        <f t="shared" ca="1" si="1"/>
        <v>0</v>
      </c>
      <c r="AM19" s="26">
        <f t="shared" ca="1" si="1"/>
        <v>0</v>
      </c>
      <c r="AN19" s="26">
        <f t="shared" ca="1" si="1"/>
        <v>0</v>
      </c>
      <c r="AO19" s="26">
        <f t="shared" ca="1" si="1"/>
        <v>0</v>
      </c>
      <c r="AP19" s="26">
        <f t="shared" ca="1" si="1"/>
        <v>0</v>
      </c>
      <c r="AQ19" s="26">
        <f t="shared" ca="1" si="1"/>
        <v>0</v>
      </c>
    </row>
    <row r="20" spans="1:43" ht="15" customHeight="1" x14ac:dyDescent="0.3">
      <c r="A20" s="3" t="s">
        <v>120</v>
      </c>
      <c r="D20" s="26">
        <f t="shared" ref="D20:AQ20" si="2">IF(D18&lt;0,-D18,0)</f>
        <v>0</v>
      </c>
      <c r="E20" s="26">
        <f t="shared" si="2"/>
        <v>0</v>
      </c>
      <c r="F20" s="26">
        <f t="shared" si="2"/>
        <v>0</v>
      </c>
      <c r="G20" s="26">
        <f t="shared" ca="1" si="2"/>
        <v>15.601091008605671</v>
      </c>
      <c r="H20" s="26">
        <f t="shared" ca="1" si="2"/>
        <v>14.93086447966504</v>
      </c>
      <c r="I20" s="26">
        <f t="shared" ca="1" si="2"/>
        <v>14.215562277453268</v>
      </c>
      <c r="J20" s="26">
        <f t="shared" ca="1" si="2"/>
        <v>13.452224264229935</v>
      </c>
      <c r="K20" s="26">
        <f t="shared" ca="1" si="2"/>
        <v>12.637697288921919</v>
      </c>
      <c r="L20" s="26">
        <f t="shared" ca="1" si="2"/>
        <v>11.768622629169217</v>
      </c>
      <c r="M20" s="26">
        <f t="shared" ca="1" si="2"/>
        <v>0</v>
      </c>
      <c r="N20" s="26">
        <f t="shared" ca="1" si="2"/>
        <v>0</v>
      </c>
      <c r="O20" s="26">
        <f t="shared" ca="1" si="2"/>
        <v>0</v>
      </c>
      <c r="P20" s="26">
        <f t="shared" ca="1" si="2"/>
        <v>0</v>
      </c>
      <c r="Q20" s="26">
        <f t="shared" ca="1" si="2"/>
        <v>0</v>
      </c>
      <c r="R20" s="26">
        <f t="shared" ca="1" si="2"/>
        <v>0</v>
      </c>
      <c r="S20" s="26">
        <f t="shared" ca="1" si="2"/>
        <v>0</v>
      </c>
      <c r="T20" s="26">
        <f t="shared" ca="1" si="2"/>
        <v>0</v>
      </c>
      <c r="U20" s="26">
        <f t="shared" ca="1" si="2"/>
        <v>0</v>
      </c>
      <c r="V20" s="26">
        <f t="shared" si="2"/>
        <v>0</v>
      </c>
      <c r="W20" s="26">
        <f t="shared" si="2"/>
        <v>0</v>
      </c>
      <c r="X20" s="26">
        <f t="shared" si="2"/>
        <v>0</v>
      </c>
      <c r="Y20" s="26">
        <f t="shared" si="2"/>
        <v>0</v>
      </c>
      <c r="Z20" s="26">
        <f t="shared" si="2"/>
        <v>0</v>
      </c>
      <c r="AA20" s="26">
        <f t="shared" si="2"/>
        <v>0</v>
      </c>
      <c r="AB20" s="26">
        <f t="shared" si="2"/>
        <v>0</v>
      </c>
      <c r="AC20" s="26">
        <f t="shared" si="2"/>
        <v>0</v>
      </c>
      <c r="AD20" s="26">
        <f t="shared" si="2"/>
        <v>0</v>
      </c>
      <c r="AE20" s="26">
        <f t="shared" si="2"/>
        <v>0</v>
      </c>
      <c r="AF20" s="26">
        <f t="shared" si="2"/>
        <v>0</v>
      </c>
      <c r="AG20" s="26">
        <f t="shared" si="2"/>
        <v>0</v>
      </c>
      <c r="AH20" s="26">
        <f t="shared" si="2"/>
        <v>0</v>
      </c>
      <c r="AI20" s="26">
        <f t="shared" si="2"/>
        <v>0</v>
      </c>
      <c r="AJ20" s="26">
        <f t="shared" si="2"/>
        <v>0</v>
      </c>
      <c r="AK20" s="26">
        <f t="shared" si="2"/>
        <v>0</v>
      </c>
      <c r="AL20" s="26">
        <f t="shared" si="2"/>
        <v>0</v>
      </c>
      <c r="AM20" s="26">
        <f t="shared" si="2"/>
        <v>0</v>
      </c>
      <c r="AN20" s="26">
        <f t="shared" si="2"/>
        <v>0</v>
      </c>
      <c r="AO20" s="26">
        <f t="shared" si="2"/>
        <v>0</v>
      </c>
      <c r="AP20" s="26">
        <f t="shared" si="2"/>
        <v>0</v>
      </c>
      <c r="AQ20" s="26">
        <f t="shared" si="2"/>
        <v>0</v>
      </c>
    </row>
    <row r="21" spans="1:43" ht="15" customHeight="1" x14ac:dyDescent="0.3">
      <c r="A21" s="3" t="s">
        <v>121</v>
      </c>
      <c r="D21" s="26">
        <f t="shared" ref="D21:AQ21" si="3">MIN(D19,MAX(D18,0))</f>
        <v>0</v>
      </c>
      <c r="E21" s="26">
        <f t="shared" si="3"/>
        <v>0</v>
      </c>
      <c r="F21" s="26">
        <f t="shared" si="3"/>
        <v>0</v>
      </c>
      <c r="G21" s="26">
        <f t="shared" ca="1" si="3"/>
        <v>0</v>
      </c>
      <c r="H21" s="26">
        <f t="shared" ca="1" si="3"/>
        <v>0</v>
      </c>
      <c r="I21" s="26">
        <f t="shared" ca="1" si="3"/>
        <v>0</v>
      </c>
      <c r="J21" s="26">
        <f t="shared" ca="1" si="3"/>
        <v>0</v>
      </c>
      <c r="K21" s="26">
        <f t="shared" ca="1" si="3"/>
        <v>0</v>
      </c>
      <c r="L21" s="26">
        <f t="shared" ca="1" si="3"/>
        <v>0</v>
      </c>
      <c r="M21" s="26">
        <f t="shared" ca="1" si="3"/>
        <v>1.5335773831380228</v>
      </c>
      <c r="N21" s="26">
        <f t="shared" ca="1" si="3"/>
        <v>2.5227136059093267</v>
      </c>
      <c r="O21" s="26">
        <f t="shared" ca="1" si="3"/>
        <v>3.5778452570181614</v>
      </c>
      <c r="P21" s="26">
        <f t="shared" ca="1" si="3"/>
        <v>4.7032960707834706</v>
      </c>
      <c r="Q21" s="26">
        <f t="shared" ca="1" si="3"/>
        <v>5.9036715048848345</v>
      </c>
      <c r="R21" s="26">
        <f t="shared" ca="1" si="3"/>
        <v>7.1838770659927125</v>
      </c>
      <c r="S21" s="26">
        <f t="shared" ca="1" si="3"/>
        <v>8.5491378268383791</v>
      </c>
      <c r="T21" s="26">
        <f t="shared" ca="1" si="3"/>
        <v>10.005019212170176</v>
      </c>
      <c r="U21" s="26">
        <f t="shared" ca="1" si="3"/>
        <v>11.557449136080283</v>
      </c>
      <c r="V21" s="26">
        <f t="shared" ca="1" si="3"/>
        <v>13.212741578546858</v>
      </c>
      <c r="W21" s="26">
        <f t="shared" ca="1" si="3"/>
        <v>13.724496410117798</v>
      </c>
      <c r="X21" s="26">
        <f t="shared" ca="1" si="3"/>
        <v>0.13223689656457793</v>
      </c>
      <c r="Y21" s="26">
        <f t="shared" ca="1" si="3"/>
        <v>0</v>
      </c>
      <c r="Z21" s="26">
        <f t="shared" ca="1" si="3"/>
        <v>0</v>
      </c>
      <c r="AA21" s="26">
        <f t="shared" ca="1" si="3"/>
        <v>0</v>
      </c>
      <c r="AB21" s="26">
        <f t="shared" ca="1" si="3"/>
        <v>0</v>
      </c>
      <c r="AC21" s="26">
        <f t="shared" ca="1" si="3"/>
        <v>0</v>
      </c>
      <c r="AD21" s="26">
        <f t="shared" ca="1" si="3"/>
        <v>0</v>
      </c>
      <c r="AE21" s="26">
        <f t="shared" ca="1" si="3"/>
        <v>0</v>
      </c>
      <c r="AF21" s="26">
        <f t="shared" ca="1" si="3"/>
        <v>0</v>
      </c>
      <c r="AG21" s="26">
        <f t="shared" ca="1" si="3"/>
        <v>0</v>
      </c>
      <c r="AH21" s="26">
        <f t="shared" ca="1" si="3"/>
        <v>0</v>
      </c>
      <c r="AI21" s="26">
        <f t="shared" ca="1" si="3"/>
        <v>0</v>
      </c>
      <c r="AJ21" s="26">
        <f t="shared" ca="1" si="3"/>
        <v>0</v>
      </c>
      <c r="AK21" s="26">
        <f t="shared" ca="1" si="3"/>
        <v>0</v>
      </c>
      <c r="AL21" s="26">
        <f t="shared" ca="1" si="3"/>
        <v>0</v>
      </c>
      <c r="AM21" s="26">
        <f t="shared" ca="1" si="3"/>
        <v>0</v>
      </c>
      <c r="AN21" s="26">
        <f t="shared" ca="1" si="3"/>
        <v>0</v>
      </c>
      <c r="AO21" s="26">
        <f t="shared" ca="1" si="3"/>
        <v>0</v>
      </c>
      <c r="AP21" s="26">
        <f t="shared" ca="1" si="3"/>
        <v>0</v>
      </c>
      <c r="AQ21" s="26">
        <f t="shared" ca="1" si="3"/>
        <v>0</v>
      </c>
    </row>
    <row r="22" spans="1:43" ht="15" customHeight="1" x14ac:dyDescent="0.3">
      <c r="A22" s="3" t="s">
        <v>122</v>
      </c>
      <c r="D22" s="26">
        <f t="shared" ref="D22:AQ22" si="4">D19+D20-D21</f>
        <v>0</v>
      </c>
      <c r="E22" s="26">
        <f t="shared" si="4"/>
        <v>0</v>
      </c>
      <c r="F22" s="26">
        <f t="shared" si="4"/>
        <v>0</v>
      </c>
      <c r="G22" s="26">
        <f t="shared" ca="1" si="4"/>
        <v>15.601091008605671</v>
      </c>
      <c r="H22" s="26">
        <f t="shared" ca="1" si="4"/>
        <v>30.531955488270711</v>
      </c>
      <c r="I22" s="26">
        <f t="shared" ca="1" si="4"/>
        <v>44.747517765723977</v>
      </c>
      <c r="J22" s="26">
        <f t="shared" ca="1" si="4"/>
        <v>58.19974202995391</v>
      </c>
      <c r="K22" s="26">
        <f t="shared" ca="1" si="4"/>
        <v>70.837439318875823</v>
      </c>
      <c r="L22" s="26">
        <f t="shared" ca="1" si="4"/>
        <v>82.606061948044925</v>
      </c>
      <c r="M22" s="26">
        <f t="shared" ca="1" si="4"/>
        <v>81.072484564907114</v>
      </c>
      <c r="N22" s="26">
        <f t="shared" ca="1" si="4"/>
        <v>78.549770958997655</v>
      </c>
      <c r="O22" s="26">
        <f t="shared" ca="1" si="4"/>
        <v>74.97192570197933</v>
      </c>
      <c r="P22" s="26">
        <f t="shared" ca="1" si="4"/>
        <v>70.268629631195978</v>
      </c>
      <c r="Q22" s="26">
        <f t="shared" ca="1" si="4"/>
        <v>64.364958126310711</v>
      </c>
      <c r="R22" s="26">
        <f t="shared" ca="1" si="4"/>
        <v>57.1810810603181</v>
      </c>
      <c r="S22" s="26">
        <f t="shared" ca="1" si="4"/>
        <v>48.631943233479817</v>
      </c>
      <c r="T22" s="26">
        <f t="shared" ca="1" si="4"/>
        <v>38.626924021309598</v>
      </c>
      <c r="U22" s="26">
        <f t="shared" ca="1" si="4"/>
        <v>27.069474885229322</v>
      </c>
      <c r="V22" s="26">
        <f t="shared" ca="1" si="4"/>
        <v>13.856733306682393</v>
      </c>
      <c r="W22" s="26">
        <f t="shared" ca="1" si="4"/>
        <v>0.13223689656460635</v>
      </c>
      <c r="X22" s="26">
        <f t="shared" ca="1" si="4"/>
        <v>0</v>
      </c>
      <c r="Y22" s="26">
        <f t="shared" ca="1" si="4"/>
        <v>0</v>
      </c>
      <c r="Z22" s="26">
        <f t="shared" ca="1" si="4"/>
        <v>0</v>
      </c>
      <c r="AA22" s="26">
        <f t="shared" ca="1" si="4"/>
        <v>0</v>
      </c>
      <c r="AB22" s="26">
        <f t="shared" ca="1" si="4"/>
        <v>0</v>
      </c>
      <c r="AC22" s="26">
        <f t="shared" ca="1" si="4"/>
        <v>0</v>
      </c>
      <c r="AD22" s="26">
        <f t="shared" ca="1" si="4"/>
        <v>0</v>
      </c>
      <c r="AE22" s="26">
        <f t="shared" ca="1" si="4"/>
        <v>0</v>
      </c>
      <c r="AF22" s="26">
        <f t="shared" ca="1" si="4"/>
        <v>0</v>
      </c>
      <c r="AG22" s="26">
        <f t="shared" ca="1" si="4"/>
        <v>0</v>
      </c>
      <c r="AH22" s="26">
        <f t="shared" ca="1" si="4"/>
        <v>0</v>
      </c>
      <c r="AI22" s="26">
        <f t="shared" ca="1" si="4"/>
        <v>0</v>
      </c>
      <c r="AJ22" s="26">
        <f t="shared" ca="1" si="4"/>
        <v>0</v>
      </c>
      <c r="AK22" s="26">
        <f t="shared" ca="1" si="4"/>
        <v>0</v>
      </c>
      <c r="AL22" s="26">
        <f t="shared" ca="1" si="4"/>
        <v>0</v>
      </c>
      <c r="AM22" s="26">
        <f t="shared" ca="1" si="4"/>
        <v>0</v>
      </c>
      <c r="AN22" s="26">
        <f t="shared" ca="1" si="4"/>
        <v>0</v>
      </c>
      <c r="AO22" s="26">
        <f t="shared" ca="1" si="4"/>
        <v>0</v>
      </c>
      <c r="AP22" s="26">
        <f t="shared" ca="1" si="4"/>
        <v>0</v>
      </c>
      <c r="AQ22" s="26">
        <f t="shared" ca="1" si="4"/>
        <v>0</v>
      </c>
    </row>
    <row r="23" spans="1:43" ht="15" customHeight="1" x14ac:dyDescent="0.3">
      <c r="A23" s="3" t="s">
        <v>123</v>
      </c>
      <c r="D23" s="26">
        <f t="shared" ref="D23:AQ23" si="5">MAX(D18,0)-D21</f>
        <v>0</v>
      </c>
      <c r="E23" s="26">
        <f t="shared" si="5"/>
        <v>0</v>
      </c>
      <c r="F23" s="26">
        <f t="shared" si="5"/>
        <v>0</v>
      </c>
      <c r="G23" s="26">
        <f t="shared" ca="1" si="5"/>
        <v>0</v>
      </c>
      <c r="H23" s="26">
        <f t="shared" ca="1" si="5"/>
        <v>0</v>
      </c>
      <c r="I23" s="26">
        <f t="shared" ca="1" si="5"/>
        <v>0</v>
      </c>
      <c r="J23" s="26">
        <f t="shared" ca="1" si="5"/>
        <v>0</v>
      </c>
      <c r="K23" s="26">
        <f t="shared" ca="1" si="5"/>
        <v>0</v>
      </c>
      <c r="L23" s="26">
        <f t="shared" ca="1" si="5"/>
        <v>0</v>
      </c>
      <c r="M23" s="26">
        <f t="shared" ca="1" si="5"/>
        <v>0</v>
      </c>
      <c r="N23" s="26">
        <f t="shared" ca="1" si="5"/>
        <v>0</v>
      </c>
      <c r="O23" s="26">
        <f t="shared" ca="1" si="5"/>
        <v>0</v>
      </c>
      <c r="P23" s="26">
        <f t="shared" ca="1" si="5"/>
        <v>0</v>
      </c>
      <c r="Q23" s="26">
        <f t="shared" ca="1" si="5"/>
        <v>0</v>
      </c>
      <c r="R23" s="26">
        <f t="shared" ca="1" si="5"/>
        <v>0</v>
      </c>
      <c r="S23" s="26">
        <f t="shared" ca="1" si="5"/>
        <v>0</v>
      </c>
      <c r="T23" s="26">
        <f t="shared" ca="1" si="5"/>
        <v>0</v>
      </c>
      <c r="U23" s="26">
        <f t="shared" ca="1" si="5"/>
        <v>0</v>
      </c>
      <c r="V23" s="26">
        <f t="shared" ca="1" si="5"/>
        <v>0</v>
      </c>
      <c r="W23" s="26">
        <f t="shared" ca="1" si="5"/>
        <v>0</v>
      </c>
      <c r="X23" s="26">
        <f t="shared" ca="1" si="5"/>
        <v>14.114249441755575</v>
      </c>
      <c r="Y23" s="26">
        <f t="shared" ca="1" si="5"/>
        <v>14.778916065086552</v>
      </c>
      <c r="Z23" s="26">
        <f t="shared" ca="1" si="5"/>
        <v>15.321994386388287</v>
      </c>
      <c r="AA23" s="26">
        <f t="shared" ca="1" si="5"/>
        <v>28.250934274116052</v>
      </c>
      <c r="AB23" s="26">
        <f t="shared" ca="1" si="5"/>
        <v>28.815952959598373</v>
      </c>
      <c r="AC23" s="26">
        <f t="shared" ca="1" si="5"/>
        <v>29.392272018790337</v>
      </c>
      <c r="AD23" s="26">
        <f t="shared" ca="1" si="5"/>
        <v>29.980117459166141</v>
      </c>
      <c r="AE23" s="26">
        <f t="shared" ca="1" si="5"/>
        <v>30.579719808349466</v>
      </c>
      <c r="AF23" s="26">
        <f t="shared" ca="1" si="5"/>
        <v>31.191314204516452</v>
      </c>
      <c r="AG23" s="26">
        <f t="shared" ca="1" si="5"/>
        <v>31.815140488606787</v>
      </c>
      <c r="AH23" s="26">
        <f t="shared" ca="1" si="5"/>
        <v>32.451443298378919</v>
      </c>
      <c r="AI23" s="26">
        <f t="shared" ca="1" si="5"/>
        <v>33.100472164346506</v>
      </c>
      <c r="AJ23" s="26">
        <f t="shared" ca="1" si="5"/>
        <v>33.762481607633433</v>
      </c>
      <c r="AK23" s="26">
        <f t="shared" ca="1" si="5"/>
        <v>0</v>
      </c>
      <c r="AL23" s="26">
        <f t="shared" ca="1" si="5"/>
        <v>0</v>
      </c>
      <c r="AM23" s="26">
        <f t="shared" ca="1" si="5"/>
        <v>0</v>
      </c>
      <c r="AN23" s="26">
        <f t="shared" ca="1" si="5"/>
        <v>0</v>
      </c>
      <c r="AO23" s="26">
        <f t="shared" ca="1" si="5"/>
        <v>0</v>
      </c>
      <c r="AP23" s="26">
        <f t="shared" ca="1" si="5"/>
        <v>0</v>
      </c>
      <c r="AQ23" s="26">
        <f t="shared" ca="1" si="5"/>
        <v>0</v>
      </c>
    </row>
    <row r="24" spans="1:43" ht="15" customHeight="1" x14ac:dyDescent="0.3">
      <c r="A24" s="3" t="s">
        <v>124</v>
      </c>
      <c r="D24" s="26">
        <f>D23*Assumptions!$B$36</f>
        <v>0</v>
      </c>
      <c r="E24" s="26">
        <f>E23*Assumptions!$B$36</f>
        <v>0</v>
      </c>
      <c r="F24" s="26">
        <f>F23*Assumptions!$B$36</f>
        <v>0</v>
      </c>
      <c r="G24" s="26">
        <f ca="1">G23*Assumptions!$B$36</f>
        <v>0</v>
      </c>
      <c r="H24" s="26">
        <f ca="1">H23*Assumptions!$B$36</f>
        <v>0</v>
      </c>
      <c r="I24" s="26">
        <f ca="1">I23*Assumptions!$B$36</f>
        <v>0</v>
      </c>
      <c r="J24" s="26">
        <f ca="1">J23*Assumptions!$B$36</f>
        <v>0</v>
      </c>
      <c r="K24" s="26">
        <f ca="1">K23*Assumptions!$B$36</f>
        <v>0</v>
      </c>
      <c r="L24" s="26">
        <f ca="1">L23*Assumptions!$B$36</f>
        <v>0</v>
      </c>
      <c r="M24" s="26">
        <f ca="1">M23*Assumptions!$B$36</f>
        <v>0</v>
      </c>
      <c r="N24" s="26">
        <f ca="1">N23*Assumptions!$B$36</f>
        <v>0</v>
      </c>
      <c r="O24" s="26">
        <f ca="1">O23*Assumptions!$B$36</f>
        <v>0</v>
      </c>
      <c r="P24" s="26">
        <f ca="1">P23*Assumptions!$B$36</f>
        <v>0</v>
      </c>
      <c r="Q24" s="26">
        <f ca="1">Q23*Assumptions!$B$36</f>
        <v>0</v>
      </c>
      <c r="R24" s="26">
        <f ca="1">R23*Assumptions!$B$36</f>
        <v>0</v>
      </c>
      <c r="S24" s="26">
        <f ca="1">S23*Assumptions!$B$36</f>
        <v>0</v>
      </c>
      <c r="T24" s="26">
        <f ca="1">T23*Assumptions!$B$36</f>
        <v>0</v>
      </c>
      <c r="U24" s="26">
        <f ca="1">U23*Assumptions!$B$36</f>
        <v>0</v>
      </c>
      <c r="V24" s="26">
        <f ca="1">V23*Assumptions!$B$36</f>
        <v>0</v>
      </c>
      <c r="W24" s="26">
        <f ca="1">W23*Assumptions!$B$36</f>
        <v>0</v>
      </c>
      <c r="X24" s="26">
        <f ca="1">X23*Assumptions!$B$36</f>
        <v>3.1051348771862264</v>
      </c>
      <c r="Y24" s="26">
        <f ca="1">Y23*Assumptions!$B$36</f>
        <v>3.2513615343190416</v>
      </c>
      <c r="Z24" s="26">
        <f ca="1">Z23*Assumptions!$B$36</f>
        <v>3.370838765005423</v>
      </c>
      <c r="AA24" s="26">
        <f ca="1">AA23*Assumptions!$B$36</f>
        <v>6.2152055403055311</v>
      </c>
      <c r="AB24" s="26">
        <f ca="1">AB23*Assumptions!$B$36</f>
        <v>6.3395096511116424</v>
      </c>
      <c r="AC24" s="26">
        <f ca="1">AC23*Assumptions!$B$36</f>
        <v>6.4662998441338742</v>
      </c>
      <c r="AD24" s="26">
        <f ca="1">AD23*Assumptions!$B$36</f>
        <v>6.5956258410165516</v>
      </c>
      <c r="AE24" s="26">
        <f ca="1">AE23*Assumptions!$B$36</f>
        <v>6.7275383578368828</v>
      </c>
      <c r="AF24" s="26">
        <f ca="1">AF23*Assumptions!$B$36</f>
        <v>6.8620891249936191</v>
      </c>
      <c r="AG24" s="26">
        <f ca="1">AG23*Assumptions!$B$36</f>
        <v>6.9993309074934933</v>
      </c>
      <c r="AH24" s="26">
        <f ca="1">AH23*Assumptions!$B$36</f>
        <v>7.1393175256433619</v>
      </c>
      <c r="AI24" s="26">
        <f ca="1">AI23*Assumptions!$B$36</f>
        <v>7.2821038761562313</v>
      </c>
      <c r="AJ24" s="26">
        <f ca="1">AJ23*Assumptions!$B$36</f>
        <v>7.4277459536793549</v>
      </c>
      <c r="AK24" s="26">
        <f ca="1">AK23*Assumptions!$B$36</f>
        <v>0</v>
      </c>
      <c r="AL24" s="26">
        <f ca="1">AL23*Assumptions!$B$36</f>
        <v>0</v>
      </c>
      <c r="AM24" s="26">
        <f ca="1">AM23*Assumptions!$B$36</f>
        <v>0</v>
      </c>
      <c r="AN24" s="26">
        <f ca="1">AN23*Assumptions!$B$36</f>
        <v>0</v>
      </c>
      <c r="AO24" s="26">
        <f ca="1">AO23*Assumptions!$B$36</f>
        <v>0</v>
      </c>
      <c r="AP24" s="26">
        <f ca="1">AP23*Assumptions!$B$36</f>
        <v>0</v>
      </c>
      <c r="AQ24" s="26">
        <f ca="1">AQ23*Assumptions!$B$36</f>
        <v>0</v>
      </c>
    </row>
    <row r="25" spans="1:43" ht="15" customHeight="1" x14ac:dyDescent="0.3">
      <c r="A25" s="6" t="s">
        <v>125</v>
      </c>
      <c r="D25" s="12">
        <f t="shared" ref="D25:AQ25" si="6">IF(D9=1,0,D24)</f>
        <v>0</v>
      </c>
      <c r="E25" s="12">
        <f t="shared" si="6"/>
        <v>0</v>
      </c>
      <c r="F25" s="12">
        <f t="shared" si="6"/>
        <v>0</v>
      </c>
      <c r="G25" s="12">
        <f t="shared" si="6"/>
        <v>0</v>
      </c>
      <c r="H25" s="12">
        <f t="shared" si="6"/>
        <v>0</v>
      </c>
      <c r="I25" s="12">
        <f t="shared" si="6"/>
        <v>0</v>
      </c>
      <c r="J25" s="12">
        <f t="shared" si="6"/>
        <v>0</v>
      </c>
      <c r="K25" s="12">
        <f t="shared" si="6"/>
        <v>0</v>
      </c>
      <c r="L25" s="12">
        <f t="shared" ca="1" si="6"/>
        <v>0</v>
      </c>
      <c r="M25" s="12">
        <f t="shared" ca="1" si="6"/>
        <v>0</v>
      </c>
      <c r="N25" s="12">
        <f t="shared" ca="1" si="6"/>
        <v>0</v>
      </c>
      <c r="O25" s="12">
        <f t="shared" ca="1" si="6"/>
        <v>0</v>
      </c>
      <c r="P25" s="12">
        <f t="shared" ca="1" si="6"/>
        <v>0</v>
      </c>
      <c r="Q25" s="12">
        <f t="shared" ca="1" si="6"/>
        <v>0</v>
      </c>
      <c r="R25" s="12">
        <f t="shared" ca="1" si="6"/>
        <v>0</v>
      </c>
      <c r="S25" s="12">
        <f t="shared" ca="1" si="6"/>
        <v>0</v>
      </c>
      <c r="T25" s="12">
        <f t="shared" ca="1" si="6"/>
        <v>0</v>
      </c>
      <c r="U25" s="12">
        <f t="shared" ca="1" si="6"/>
        <v>0</v>
      </c>
      <c r="V25" s="12">
        <f t="shared" ca="1" si="6"/>
        <v>0</v>
      </c>
      <c r="W25" s="12">
        <f t="shared" ca="1" si="6"/>
        <v>0</v>
      </c>
      <c r="X25" s="12">
        <f t="shared" ca="1" si="6"/>
        <v>3.1051348771862264</v>
      </c>
      <c r="Y25" s="12">
        <f t="shared" ca="1" si="6"/>
        <v>3.2513615343190416</v>
      </c>
      <c r="Z25" s="12">
        <f t="shared" ca="1" si="6"/>
        <v>3.370838765005423</v>
      </c>
      <c r="AA25" s="12">
        <f t="shared" ca="1" si="6"/>
        <v>6.2152055403055311</v>
      </c>
      <c r="AB25" s="12">
        <f t="shared" ca="1" si="6"/>
        <v>6.3395096511116424</v>
      </c>
      <c r="AC25" s="12">
        <f t="shared" ca="1" si="6"/>
        <v>6.4662998441338742</v>
      </c>
      <c r="AD25" s="12">
        <f t="shared" ca="1" si="6"/>
        <v>6.5956258410165516</v>
      </c>
      <c r="AE25" s="12">
        <f t="shared" ca="1" si="6"/>
        <v>6.7275383578368828</v>
      </c>
      <c r="AF25" s="12">
        <f t="shared" ca="1" si="6"/>
        <v>6.8620891249936191</v>
      </c>
      <c r="AG25" s="12">
        <f t="shared" ca="1" si="6"/>
        <v>6.9993309074934933</v>
      </c>
      <c r="AH25" s="12">
        <f t="shared" ca="1" si="6"/>
        <v>7.1393175256433619</v>
      </c>
      <c r="AI25" s="12">
        <f t="shared" ca="1" si="6"/>
        <v>7.2821038761562313</v>
      </c>
      <c r="AJ25" s="12">
        <f t="shared" ca="1" si="6"/>
        <v>7.4277459536793549</v>
      </c>
      <c r="AK25" s="12">
        <f t="shared" ca="1" si="6"/>
        <v>0</v>
      </c>
      <c r="AL25" s="12">
        <f t="shared" ca="1" si="6"/>
        <v>0</v>
      </c>
      <c r="AM25" s="12">
        <f t="shared" ca="1" si="6"/>
        <v>0</v>
      </c>
      <c r="AN25" s="12">
        <f t="shared" ca="1" si="6"/>
        <v>0</v>
      </c>
      <c r="AO25" s="12">
        <f t="shared" ca="1" si="6"/>
        <v>0</v>
      </c>
      <c r="AP25" s="12">
        <f t="shared" ca="1" si="6"/>
        <v>0</v>
      </c>
      <c r="AQ25" s="12">
        <f t="shared" ca="1" si="6"/>
        <v>0</v>
      </c>
    </row>
    <row r="27" spans="1:43" ht="18" customHeight="1" x14ac:dyDescent="0.3">
      <c r="A27" s="51" t="s">
        <v>126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</row>
    <row r="28" spans="1:43" ht="15" customHeight="1" x14ac:dyDescent="0.3">
      <c r="A28" s="3" t="s">
        <v>127</v>
      </c>
      <c r="D28" s="26">
        <f t="shared" ref="D28:AQ28" si="7">D16-D12-D11</f>
        <v>0</v>
      </c>
      <c r="E28" s="26">
        <f t="shared" si="7"/>
        <v>0</v>
      </c>
      <c r="F28" s="26">
        <f t="shared" si="7"/>
        <v>0</v>
      </c>
      <c r="G28" s="26">
        <f t="shared" si="7"/>
        <v>-5.7379311000000008</v>
      </c>
      <c r="H28" s="26">
        <f t="shared" si="7"/>
        <v>-5.3576897219999999</v>
      </c>
      <c r="I28" s="26">
        <f t="shared" si="7"/>
        <v>-4.969843516440001</v>
      </c>
      <c r="J28" s="26">
        <f t="shared" si="7"/>
        <v>-4.5742403867688068</v>
      </c>
      <c r="K28" s="26">
        <f t="shared" si="7"/>
        <v>-4.170725194504179</v>
      </c>
      <c r="L28" s="26">
        <f t="shared" si="7"/>
        <v>-3.7591396983942644</v>
      </c>
      <c r="M28" s="26">
        <f t="shared" si="7"/>
        <v>9.0356775076378604</v>
      </c>
      <c r="N28" s="26">
        <f t="shared" si="7"/>
        <v>9.4638910577906081</v>
      </c>
      <c r="O28" s="26">
        <f t="shared" si="7"/>
        <v>9.9006688789464263</v>
      </c>
      <c r="P28" s="26">
        <f t="shared" si="7"/>
        <v>10.346182256525349</v>
      </c>
      <c r="Q28" s="26">
        <f t="shared" si="7"/>
        <v>10.80060590165586</v>
      </c>
      <c r="R28" s="26">
        <f t="shared" si="7"/>
        <v>11.264118019688972</v>
      </c>
      <c r="S28" s="26">
        <f t="shared" si="7"/>
        <v>11.736900380082751</v>
      </c>
      <c r="T28" s="26">
        <f t="shared" si="7"/>
        <v>12.219138387684406</v>
      </c>
      <c r="U28" s="26">
        <f t="shared" si="7"/>
        <v>12.711021155438097</v>
      </c>
      <c r="V28" s="26">
        <f t="shared" si="7"/>
        <v>13.212741578546858</v>
      </c>
      <c r="W28" s="26">
        <f t="shared" si="7"/>
        <v>13.724496410117798</v>
      </c>
      <c r="X28" s="26">
        <f t="shared" si="7"/>
        <v>14.246486338320153</v>
      </c>
      <c r="Y28" s="26">
        <f t="shared" si="7"/>
        <v>14.778916065086552</v>
      </c>
      <c r="Z28" s="26">
        <f t="shared" si="7"/>
        <v>15.321994386388287</v>
      </c>
      <c r="AA28" s="26">
        <f t="shared" si="7"/>
        <v>28.250934274116052</v>
      </c>
      <c r="AB28" s="26">
        <f t="shared" si="7"/>
        <v>28.815952959598373</v>
      </c>
      <c r="AC28" s="26">
        <f t="shared" si="7"/>
        <v>29.392272018790337</v>
      </c>
      <c r="AD28" s="26">
        <f t="shared" si="7"/>
        <v>29.980117459166141</v>
      </c>
      <c r="AE28" s="26">
        <f t="shared" si="7"/>
        <v>30.579719808349466</v>
      </c>
      <c r="AF28" s="26">
        <f t="shared" si="7"/>
        <v>31.191314204516452</v>
      </c>
      <c r="AG28" s="26">
        <f t="shared" si="7"/>
        <v>31.815140488606787</v>
      </c>
      <c r="AH28" s="26">
        <f t="shared" si="7"/>
        <v>32.451443298378919</v>
      </c>
      <c r="AI28" s="26">
        <f t="shared" si="7"/>
        <v>33.100472164346506</v>
      </c>
      <c r="AJ28" s="26">
        <f t="shared" si="7"/>
        <v>33.762481607633433</v>
      </c>
      <c r="AK28" s="26">
        <f t="shared" si="7"/>
        <v>0</v>
      </c>
      <c r="AL28" s="26">
        <f t="shared" si="7"/>
        <v>0</v>
      </c>
      <c r="AM28" s="26">
        <f t="shared" si="7"/>
        <v>0</v>
      </c>
      <c r="AN28" s="26">
        <f t="shared" si="7"/>
        <v>0</v>
      </c>
      <c r="AO28" s="26">
        <f t="shared" si="7"/>
        <v>0</v>
      </c>
      <c r="AP28" s="26">
        <f t="shared" si="7"/>
        <v>0</v>
      </c>
      <c r="AQ28" s="26">
        <f t="shared" si="7"/>
        <v>0</v>
      </c>
    </row>
    <row r="29" spans="1:43" ht="15" customHeight="1" x14ac:dyDescent="0.3">
      <c r="A29" s="3" t="s">
        <v>128</v>
      </c>
      <c r="D29" s="26" t="s">
        <v>119</v>
      </c>
      <c r="E29" s="26">
        <f t="shared" ref="E29:AQ29" si="8">D32</f>
        <v>0</v>
      </c>
      <c r="F29" s="26">
        <f t="shared" si="8"/>
        <v>0</v>
      </c>
      <c r="G29" s="26">
        <f t="shared" si="8"/>
        <v>0</v>
      </c>
      <c r="H29" s="26">
        <f t="shared" si="8"/>
        <v>5.7379311000000008</v>
      </c>
      <c r="I29" s="26">
        <f t="shared" si="8"/>
        <v>11.095620822000001</v>
      </c>
      <c r="J29" s="26">
        <f t="shared" si="8"/>
        <v>16.065464338440002</v>
      </c>
      <c r="K29" s="26">
        <f t="shared" si="8"/>
        <v>20.639704725208809</v>
      </c>
      <c r="L29" s="26">
        <f t="shared" si="8"/>
        <v>24.810429919712988</v>
      </c>
      <c r="M29" s="26">
        <f t="shared" si="8"/>
        <v>28.569569618107252</v>
      </c>
      <c r="N29" s="26">
        <f t="shared" si="8"/>
        <v>19.533892110469392</v>
      </c>
      <c r="O29" s="26">
        <f t="shared" si="8"/>
        <v>10.070001052678784</v>
      </c>
      <c r="P29" s="26">
        <f t="shared" si="8"/>
        <v>0.16933217373235721</v>
      </c>
      <c r="Q29" s="26">
        <f t="shared" si="8"/>
        <v>0</v>
      </c>
      <c r="R29" s="26">
        <f t="shared" si="8"/>
        <v>0</v>
      </c>
      <c r="S29" s="26">
        <f t="shared" si="8"/>
        <v>0</v>
      </c>
      <c r="T29" s="26">
        <f t="shared" si="8"/>
        <v>0</v>
      </c>
      <c r="U29" s="26">
        <f t="shared" si="8"/>
        <v>0</v>
      </c>
      <c r="V29" s="26">
        <f t="shared" si="8"/>
        <v>0</v>
      </c>
      <c r="W29" s="26">
        <f t="shared" si="8"/>
        <v>0</v>
      </c>
      <c r="X29" s="26">
        <f t="shared" si="8"/>
        <v>0</v>
      </c>
      <c r="Y29" s="26">
        <f t="shared" si="8"/>
        <v>0</v>
      </c>
      <c r="Z29" s="26">
        <f t="shared" si="8"/>
        <v>0</v>
      </c>
      <c r="AA29" s="26">
        <f t="shared" si="8"/>
        <v>0</v>
      </c>
      <c r="AB29" s="26">
        <f t="shared" si="8"/>
        <v>0</v>
      </c>
      <c r="AC29" s="26">
        <f t="shared" si="8"/>
        <v>0</v>
      </c>
      <c r="AD29" s="26">
        <f t="shared" si="8"/>
        <v>0</v>
      </c>
      <c r="AE29" s="26">
        <f t="shared" si="8"/>
        <v>0</v>
      </c>
      <c r="AF29" s="26">
        <f t="shared" si="8"/>
        <v>0</v>
      </c>
      <c r="AG29" s="26">
        <f t="shared" si="8"/>
        <v>0</v>
      </c>
      <c r="AH29" s="26">
        <f t="shared" si="8"/>
        <v>0</v>
      </c>
      <c r="AI29" s="26">
        <f t="shared" si="8"/>
        <v>0</v>
      </c>
      <c r="AJ29" s="26">
        <f t="shared" si="8"/>
        <v>0</v>
      </c>
      <c r="AK29" s="26">
        <f t="shared" si="8"/>
        <v>0</v>
      </c>
      <c r="AL29" s="26">
        <f t="shared" si="8"/>
        <v>0</v>
      </c>
      <c r="AM29" s="26">
        <f t="shared" si="8"/>
        <v>0</v>
      </c>
      <c r="AN29" s="26">
        <f t="shared" si="8"/>
        <v>0</v>
      </c>
      <c r="AO29" s="26">
        <f t="shared" si="8"/>
        <v>0</v>
      </c>
      <c r="AP29" s="26">
        <f t="shared" si="8"/>
        <v>0</v>
      </c>
      <c r="AQ29" s="26">
        <f t="shared" si="8"/>
        <v>0</v>
      </c>
    </row>
    <row r="30" spans="1:43" ht="15" customHeight="1" x14ac:dyDescent="0.3">
      <c r="A30" s="3" t="s">
        <v>129</v>
      </c>
      <c r="D30" s="26">
        <f t="shared" ref="D30:AQ30" si="9">IF(D28&lt;0,-D28,0)</f>
        <v>0</v>
      </c>
      <c r="E30" s="26">
        <f t="shared" si="9"/>
        <v>0</v>
      </c>
      <c r="F30" s="26">
        <f t="shared" si="9"/>
        <v>0</v>
      </c>
      <c r="G30" s="26">
        <f t="shared" si="9"/>
        <v>5.7379311000000008</v>
      </c>
      <c r="H30" s="26">
        <f t="shared" si="9"/>
        <v>5.3576897219999999</v>
      </c>
      <c r="I30" s="26">
        <f t="shared" si="9"/>
        <v>4.969843516440001</v>
      </c>
      <c r="J30" s="26">
        <f t="shared" si="9"/>
        <v>4.5742403867688068</v>
      </c>
      <c r="K30" s="26">
        <f t="shared" si="9"/>
        <v>4.170725194504179</v>
      </c>
      <c r="L30" s="26">
        <f t="shared" si="9"/>
        <v>3.7591396983942644</v>
      </c>
      <c r="M30" s="26">
        <f t="shared" si="9"/>
        <v>0</v>
      </c>
      <c r="N30" s="26">
        <f t="shared" si="9"/>
        <v>0</v>
      </c>
      <c r="O30" s="26">
        <f t="shared" si="9"/>
        <v>0</v>
      </c>
      <c r="P30" s="26">
        <f t="shared" si="9"/>
        <v>0</v>
      </c>
      <c r="Q30" s="26">
        <f t="shared" si="9"/>
        <v>0</v>
      </c>
      <c r="R30" s="26">
        <f t="shared" si="9"/>
        <v>0</v>
      </c>
      <c r="S30" s="26">
        <f t="shared" si="9"/>
        <v>0</v>
      </c>
      <c r="T30" s="26">
        <f t="shared" si="9"/>
        <v>0</v>
      </c>
      <c r="U30" s="26">
        <f t="shared" si="9"/>
        <v>0</v>
      </c>
      <c r="V30" s="26">
        <f t="shared" si="9"/>
        <v>0</v>
      </c>
      <c r="W30" s="26">
        <f t="shared" si="9"/>
        <v>0</v>
      </c>
      <c r="X30" s="26">
        <f t="shared" si="9"/>
        <v>0</v>
      </c>
      <c r="Y30" s="26">
        <f t="shared" si="9"/>
        <v>0</v>
      </c>
      <c r="Z30" s="26">
        <f t="shared" si="9"/>
        <v>0</v>
      </c>
      <c r="AA30" s="26">
        <f t="shared" si="9"/>
        <v>0</v>
      </c>
      <c r="AB30" s="26">
        <f t="shared" si="9"/>
        <v>0</v>
      </c>
      <c r="AC30" s="26">
        <f t="shared" si="9"/>
        <v>0</v>
      </c>
      <c r="AD30" s="26">
        <f t="shared" si="9"/>
        <v>0</v>
      </c>
      <c r="AE30" s="26">
        <f t="shared" si="9"/>
        <v>0</v>
      </c>
      <c r="AF30" s="26">
        <f t="shared" si="9"/>
        <v>0</v>
      </c>
      <c r="AG30" s="26">
        <f t="shared" si="9"/>
        <v>0</v>
      </c>
      <c r="AH30" s="26">
        <f t="shared" si="9"/>
        <v>0</v>
      </c>
      <c r="AI30" s="26">
        <f t="shared" si="9"/>
        <v>0</v>
      </c>
      <c r="AJ30" s="26">
        <f t="shared" si="9"/>
        <v>0</v>
      </c>
      <c r="AK30" s="26">
        <f t="shared" si="9"/>
        <v>0</v>
      </c>
      <c r="AL30" s="26">
        <f t="shared" si="9"/>
        <v>0</v>
      </c>
      <c r="AM30" s="26">
        <f t="shared" si="9"/>
        <v>0</v>
      </c>
      <c r="AN30" s="26">
        <f t="shared" si="9"/>
        <v>0</v>
      </c>
      <c r="AO30" s="26">
        <f t="shared" si="9"/>
        <v>0</v>
      </c>
      <c r="AP30" s="26">
        <f t="shared" si="9"/>
        <v>0</v>
      </c>
      <c r="AQ30" s="26">
        <f t="shared" si="9"/>
        <v>0</v>
      </c>
    </row>
    <row r="31" spans="1:43" ht="15" customHeight="1" x14ac:dyDescent="0.3">
      <c r="A31" s="3" t="s">
        <v>130</v>
      </c>
      <c r="D31" s="26">
        <f t="shared" ref="D31:AQ31" si="10">MIN(D29,MAX(D28,0))</f>
        <v>0</v>
      </c>
      <c r="E31" s="26">
        <f t="shared" si="10"/>
        <v>0</v>
      </c>
      <c r="F31" s="26">
        <f t="shared" si="10"/>
        <v>0</v>
      </c>
      <c r="G31" s="26">
        <f t="shared" si="10"/>
        <v>0</v>
      </c>
      <c r="H31" s="26">
        <f t="shared" si="10"/>
        <v>0</v>
      </c>
      <c r="I31" s="26">
        <f t="shared" si="10"/>
        <v>0</v>
      </c>
      <c r="J31" s="26">
        <f t="shared" si="10"/>
        <v>0</v>
      </c>
      <c r="K31" s="26">
        <f t="shared" si="10"/>
        <v>0</v>
      </c>
      <c r="L31" s="26">
        <f t="shared" si="10"/>
        <v>0</v>
      </c>
      <c r="M31" s="26">
        <f t="shared" si="10"/>
        <v>9.0356775076378604</v>
      </c>
      <c r="N31" s="26">
        <f t="shared" si="10"/>
        <v>9.4638910577906081</v>
      </c>
      <c r="O31" s="26">
        <f t="shared" si="10"/>
        <v>9.9006688789464263</v>
      </c>
      <c r="P31" s="26">
        <f t="shared" si="10"/>
        <v>0.16933217373235721</v>
      </c>
      <c r="Q31" s="26">
        <f t="shared" si="10"/>
        <v>0</v>
      </c>
      <c r="R31" s="26">
        <f t="shared" si="10"/>
        <v>0</v>
      </c>
      <c r="S31" s="26">
        <f t="shared" si="10"/>
        <v>0</v>
      </c>
      <c r="T31" s="26">
        <f t="shared" si="10"/>
        <v>0</v>
      </c>
      <c r="U31" s="26">
        <f t="shared" si="10"/>
        <v>0</v>
      </c>
      <c r="V31" s="26">
        <f t="shared" si="10"/>
        <v>0</v>
      </c>
      <c r="W31" s="26">
        <f t="shared" si="10"/>
        <v>0</v>
      </c>
      <c r="X31" s="26">
        <f t="shared" si="10"/>
        <v>0</v>
      </c>
      <c r="Y31" s="26">
        <f t="shared" si="10"/>
        <v>0</v>
      </c>
      <c r="Z31" s="26">
        <f t="shared" si="10"/>
        <v>0</v>
      </c>
      <c r="AA31" s="26">
        <f t="shared" si="10"/>
        <v>0</v>
      </c>
      <c r="AB31" s="26">
        <f t="shared" si="10"/>
        <v>0</v>
      </c>
      <c r="AC31" s="26">
        <f t="shared" si="10"/>
        <v>0</v>
      </c>
      <c r="AD31" s="26">
        <f t="shared" si="10"/>
        <v>0</v>
      </c>
      <c r="AE31" s="26">
        <f t="shared" si="10"/>
        <v>0</v>
      </c>
      <c r="AF31" s="26">
        <f t="shared" si="10"/>
        <v>0</v>
      </c>
      <c r="AG31" s="26">
        <f t="shared" si="10"/>
        <v>0</v>
      </c>
      <c r="AH31" s="26">
        <f t="shared" si="10"/>
        <v>0</v>
      </c>
      <c r="AI31" s="26">
        <f t="shared" si="10"/>
        <v>0</v>
      </c>
      <c r="AJ31" s="26">
        <f t="shared" si="10"/>
        <v>0</v>
      </c>
      <c r="AK31" s="26">
        <f t="shared" si="10"/>
        <v>0</v>
      </c>
      <c r="AL31" s="26">
        <f t="shared" si="10"/>
        <v>0</v>
      </c>
      <c r="AM31" s="26">
        <f t="shared" si="10"/>
        <v>0</v>
      </c>
      <c r="AN31" s="26">
        <f t="shared" si="10"/>
        <v>0</v>
      </c>
      <c r="AO31" s="26">
        <f t="shared" si="10"/>
        <v>0</v>
      </c>
      <c r="AP31" s="26">
        <f t="shared" si="10"/>
        <v>0</v>
      </c>
      <c r="AQ31" s="26">
        <f t="shared" si="10"/>
        <v>0</v>
      </c>
    </row>
    <row r="32" spans="1:43" ht="15" customHeight="1" x14ac:dyDescent="0.3">
      <c r="A32" s="3" t="s">
        <v>131</v>
      </c>
      <c r="D32" s="26">
        <f t="shared" ref="D32:AQ32" si="11">D29+D30-D31</f>
        <v>0</v>
      </c>
      <c r="E32" s="26">
        <f t="shared" si="11"/>
        <v>0</v>
      </c>
      <c r="F32" s="26">
        <f t="shared" si="11"/>
        <v>0</v>
      </c>
      <c r="G32" s="26">
        <f t="shared" si="11"/>
        <v>5.7379311000000008</v>
      </c>
      <c r="H32" s="26">
        <f t="shared" si="11"/>
        <v>11.095620822000001</v>
      </c>
      <c r="I32" s="26">
        <f t="shared" si="11"/>
        <v>16.065464338440002</v>
      </c>
      <c r="J32" s="26">
        <f t="shared" si="11"/>
        <v>20.639704725208809</v>
      </c>
      <c r="K32" s="26">
        <f t="shared" si="11"/>
        <v>24.810429919712988</v>
      </c>
      <c r="L32" s="26">
        <f t="shared" si="11"/>
        <v>28.569569618107252</v>
      </c>
      <c r="M32" s="26">
        <f t="shared" si="11"/>
        <v>19.533892110469392</v>
      </c>
      <c r="N32" s="26">
        <f t="shared" si="11"/>
        <v>10.070001052678784</v>
      </c>
      <c r="O32" s="26">
        <f t="shared" si="11"/>
        <v>0.16933217373235721</v>
      </c>
      <c r="P32" s="26">
        <f t="shared" si="11"/>
        <v>0</v>
      </c>
      <c r="Q32" s="26">
        <f t="shared" si="11"/>
        <v>0</v>
      </c>
      <c r="R32" s="26">
        <f t="shared" si="11"/>
        <v>0</v>
      </c>
      <c r="S32" s="26">
        <f t="shared" si="11"/>
        <v>0</v>
      </c>
      <c r="T32" s="26">
        <f t="shared" si="11"/>
        <v>0</v>
      </c>
      <c r="U32" s="26">
        <f t="shared" si="11"/>
        <v>0</v>
      </c>
      <c r="V32" s="26">
        <f t="shared" si="11"/>
        <v>0</v>
      </c>
      <c r="W32" s="26">
        <f t="shared" si="11"/>
        <v>0</v>
      </c>
      <c r="X32" s="26">
        <f t="shared" si="11"/>
        <v>0</v>
      </c>
      <c r="Y32" s="26">
        <f t="shared" si="11"/>
        <v>0</v>
      </c>
      <c r="Z32" s="26">
        <f t="shared" si="11"/>
        <v>0</v>
      </c>
      <c r="AA32" s="26">
        <f t="shared" si="11"/>
        <v>0</v>
      </c>
      <c r="AB32" s="26">
        <f t="shared" si="11"/>
        <v>0</v>
      </c>
      <c r="AC32" s="26">
        <f t="shared" si="11"/>
        <v>0</v>
      </c>
      <c r="AD32" s="26">
        <f t="shared" si="11"/>
        <v>0</v>
      </c>
      <c r="AE32" s="26">
        <f t="shared" si="11"/>
        <v>0</v>
      </c>
      <c r="AF32" s="26">
        <f t="shared" si="11"/>
        <v>0</v>
      </c>
      <c r="AG32" s="26">
        <f t="shared" si="11"/>
        <v>0</v>
      </c>
      <c r="AH32" s="26">
        <f t="shared" si="11"/>
        <v>0</v>
      </c>
      <c r="AI32" s="26">
        <f t="shared" si="11"/>
        <v>0</v>
      </c>
      <c r="AJ32" s="26">
        <f t="shared" si="11"/>
        <v>0</v>
      </c>
      <c r="AK32" s="26">
        <f t="shared" si="11"/>
        <v>0</v>
      </c>
      <c r="AL32" s="26">
        <f t="shared" si="11"/>
        <v>0</v>
      </c>
      <c r="AM32" s="26">
        <f t="shared" si="11"/>
        <v>0</v>
      </c>
      <c r="AN32" s="26">
        <f t="shared" si="11"/>
        <v>0</v>
      </c>
      <c r="AO32" s="26">
        <f t="shared" si="11"/>
        <v>0</v>
      </c>
      <c r="AP32" s="26">
        <f t="shared" si="11"/>
        <v>0</v>
      </c>
      <c r="AQ32" s="26">
        <f t="shared" si="11"/>
        <v>0</v>
      </c>
    </row>
    <row r="33" spans="1:43" ht="15" customHeight="1" x14ac:dyDescent="0.3">
      <c r="A33" s="3" t="s">
        <v>132</v>
      </c>
      <c r="D33" s="26">
        <f t="shared" ref="D33:AQ33" si="12">MAX(D28,0)-D31</f>
        <v>0</v>
      </c>
      <c r="E33" s="26">
        <f t="shared" si="12"/>
        <v>0</v>
      </c>
      <c r="F33" s="26">
        <f t="shared" si="12"/>
        <v>0</v>
      </c>
      <c r="G33" s="26">
        <f t="shared" si="12"/>
        <v>0</v>
      </c>
      <c r="H33" s="26">
        <f t="shared" si="12"/>
        <v>0</v>
      </c>
      <c r="I33" s="26">
        <f t="shared" si="12"/>
        <v>0</v>
      </c>
      <c r="J33" s="26">
        <f t="shared" si="12"/>
        <v>0</v>
      </c>
      <c r="K33" s="26">
        <f t="shared" si="12"/>
        <v>0</v>
      </c>
      <c r="L33" s="26">
        <f t="shared" si="12"/>
        <v>0</v>
      </c>
      <c r="M33" s="26">
        <f t="shared" si="12"/>
        <v>0</v>
      </c>
      <c r="N33" s="26">
        <f t="shared" si="12"/>
        <v>0</v>
      </c>
      <c r="O33" s="26">
        <f t="shared" si="12"/>
        <v>0</v>
      </c>
      <c r="P33" s="26">
        <f t="shared" si="12"/>
        <v>10.176850082792992</v>
      </c>
      <c r="Q33" s="26">
        <f t="shared" si="12"/>
        <v>10.80060590165586</v>
      </c>
      <c r="R33" s="26">
        <f t="shared" si="12"/>
        <v>11.264118019688972</v>
      </c>
      <c r="S33" s="26">
        <f t="shared" si="12"/>
        <v>11.736900380082751</v>
      </c>
      <c r="T33" s="26">
        <f t="shared" si="12"/>
        <v>12.219138387684406</v>
      </c>
      <c r="U33" s="26">
        <f t="shared" si="12"/>
        <v>12.711021155438097</v>
      </c>
      <c r="V33" s="26">
        <f t="shared" si="12"/>
        <v>13.212741578546858</v>
      </c>
      <c r="W33" s="26">
        <f t="shared" si="12"/>
        <v>13.724496410117798</v>
      </c>
      <c r="X33" s="26">
        <f t="shared" si="12"/>
        <v>14.246486338320153</v>
      </c>
      <c r="Y33" s="26">
        <f t="shared" si="12"/>
        <v>14.778916065086552</v>
      </c>
      <c r="Z33" s="26">
        <f t="shared" si="12"/>
        <v>15.321994386388287</v>
      </c>
      <c r="AA33" s="26">
        <f t="shared" si="12"/>
        <v>28.250934274116052</v>
      </c>
      <c r="AB33" s="26">
        <f t="shared" si="12"/>
        <v>28.815952959598373</v>
      </c>
      <c r="AC33" s="26">
        <f t="shared" si="12"/>
        <v>29.392272018790337</v>
      </c>
      <c r="AD33" s="26">
        <f t="shared" si="12"/>
        <v>29.980117459166141</v>
      </c>
      <c r="AE33" s="26">
        <f t="shared" si="12"/>
        <v>30.579719808349466</v>
      </c>
      <c r="AF33" s="26">
        <f t="shared" si="12"/>
        <v>31.191314204516452</v>
      </c>
      <c r="AG33" s="26">
        <f t="shared" si="12"/>
        <v>31.815140488606787</v>
      </c>
      <c r="AH33" s="26">
        <f t="shared" si="12"/>
        <v>32.451443298378919</v>
      </c>
      <c r="AI33" s="26">
        <f t="shared" si="12"/>
        <v>33.100472164346506</v>
      </c>
      <c r="AJ33" s="26">
        <f t="shared" si="12"/>
        <v>33.762481607633433</v>
      </c>
      <c r="AK33" s="26">
        <f t="shared" si="12"/>
        <v>0</v>
      </c>
      <c r="AL33" s="26">
        <f t="shared" si="12"/>
        <v>0</v>
      </c>
      <c r="AM33" s="26">
        <f t="shared" si="12"/>
        <v>0</v>
      </c>
      <c r="AN33" s="26">
        <f t="shared" si="12"/>
        <v>0</v>
      </c>
      <c r="AO33" s="26">
        <f t="shared" si="12"/>
        <v>0</v>
      </c>
      <c r="AP33" s="26">
        <f t="shared" si="12"/>
        <v>0</v>
      </c>
      <c r="AQ33" s="26">
        <f t="shared" si="12"/>
        <v>0</v>
      </c>
    </row>
    <row r="34" spans="1:43" ht="15" customHeight="1" x14ac:dyDescent="0.3">
      <c r="A34" s="3" t="s">
        <v>133</v>
      </c>
      <c r="D34" s="26">
        <f>D33*Assumptions!$B$36</f>
        <v>0</v>
      </c>
      <c r="E34" s="26">
        <f>E33*Assumptions!$B$36</f>
        <v>0</v>
      </c>
      <c r="F34" s="26">
        <f>F33*Assumptions!$B$36</f>
        <v>0</v>
      </c>
      <c r="G34" s="26">
        <f>G33*Assumptions!$B$36</f>
        <v>0</v>
      </c>
      <c r="H34" s="26">
        <f>H33*Assumptions!$B$36</f>
        <v>0</v>
      </c>
      <c r="I34" s="26">
        <f>I33*Assumptions!$B$36</f>
        <v>0</v>
      </c>
      <c r="J34" s="26">
        <f>J33*Assumptions!$B$36</f>
        <v>0</v>
      </c>
      <c r="K34" s="26">
        <f>K33*Assumptions!$B$36</f>
        <v>0</v>
      </c>
      <c r="L34" s="26">
        <f>L33*Assumptions!$B$36</f>
        <v>0</v>
      </c>
      <c r="M34" s="26">
        <f>M33*Assumptions!$B$36</f>
        <v>0</v>
      </c>
      <c r="N34" s="26">
        <f>N33*Assumptions!$B$36</f>
        <v>0</v>
      </c>
      <c r="O34" s="26">
        <f>O33*Assumptions!$B$36</f>
        <v>0</v>
      </c>
      <c r="P34" s="26">
        <f>P33*Assumptions!$B$36</f>
        <v>2.2389070182144581</v>
      </c>
      <c r="Q34" s="26">
        <f>Q33*Assumptions!$B$36</f>
        <v>2.3761332983642891</v>
      </c>
      <c r="R34" s="26">
        <f>R33*Assumptions!$B$36</f>
        <v>2.4781059643315739</v>
      </c>
      <c r="S34" s="26">
        <f>S33*Assumptions!$B$36</f>
        <v>2.5821180836182052</v>
      </c>
      <c r="T34" s="26">
        <f>T33*Assumptions!$B$36</f>
        <v>2.6882104452905695</v>
      </c>
      <c r="U34" s="26">
        <f>U33*Assumptions!$B$36</f>
        <v>2.7964246541963811</v>
      </c>
      <c r="V34" s="26">
        <f>V33*Assumptions!$B$36</f>
        <v>2.9068031472803089</v>
      </c>
      <c r="W34" s="26">
        <f>W33*Assumptions!$B$36</f>
        <v>3.0193892102259157</v>
      </c>
      <c r="X34" s="26">
        <f>X33*Assumptions!$B$36</f>
        <v>3.1342269944304335</v>
      </c>
      <c r="Y34" s="26">
        <f>Y33*Assumptions!$B$36</f>
        <v>3.2513615343190416</v>
      </c>
      <c r="Z34" s="26">
        <f>Z33*Assumptions!$B$36</f>
        <v>3.370838765005423</v>
      </c>
      <c r="AA34" s="26">
        <f>AA33*Assumptions!$B$36</f>
        <v>6.2152055403055311</v>
      </c>
      <c r="AB34" s="26">
        <f>AB33*Assumptions!$B$36</f>
        <v>6.3395096511116424</v>
      </c>
      <c r="AC34" s="26">
        <f>AC33*Assumptions!$B$36</f>
        <v>6.4662998441338742</v>
      </c>
      <c r="AD34" s="26">
        <f>AD33*Assumptions!$B$36</f>
        <v>6.5956258410165516</v>
      </c>
      <c r="AE34" s="26">
        <f>AE33*Assumptions!$B$36</f>
        <v>6.7275383578368828</v>
      </c>
      <c r="AF34" s="26">
        <f>AF33*Assumptions!$B$36</f>
        <v>6.8620891249936191</v>
      </c>
      <c r="AG34" s="26">
        <f>AG33*Assumptions!$B$36</f>
        <v>6.9993309074934933</v>
      </c>
      <c r="AH34" s="26">
        <f>AH33*Assumptions!$B$36</f>
        <v>7.1393175256433619</v>
      </c>
      <c r="AI34" s="26">
        <f>AI33*Assumptions!$B$36</f>
        <v>7.2821038761562313</v>
      </c>
      <c r="AJ34" s="26">
        <f>AJ33*Assumptions!$B$36</f>
        <v>7.4277459536793549</v>
      </c>
      <c r="AK34" s="26">
        <f>AK33*Assumptions!$B$36</f>
        <v>0</v>
      </c>
      <c r="AL34" s="26">
        <f>AL33*Assumptions!$B$36</f>
        <v>0</v>
      </c>
      <c r="AM34" s="26">
        <f>AM33*Assumptions!$B$36</f>
        <v>0</v>
      </c>
      <c r="AN34" s="26">
        <f>AN33*Assumptions!$B$36</f>
        <v>0</v>
      </c>
      <c r="AO34" s="26">
        <f>AO33*Assumptions!$B$36</f>
        <v>0</v>
      </c>
      <c r="AP34" s="26">
        <f>AP33*Assumptions!$B$36</f>
        <v>0</v>
      </c>
      <c r="AQ34" s="26">
        <f>AQ33*Assumptions!$B$36</f>
        <v>0</v>
      </c>
    </row>
    <row r="35" spans="1:43" ht="15" customHeight="1" x14ac:dyDescent="0.3">
      <c r="A35" s="6" t="s">
        <v>134</v>
      </c>
      <c r="D35" s="12">
        <f t="shared" ref="D35:AQ35" si="13">IF(D9=1,0,D34)</f>
        <v>0</v>
      </c>
      <c r="E35" s="12">
        <f t="shared" si="13"/>
        <v>0</v>
      </c>
      <c r="F35" s="12">
        <f t="shared" si="13"/>
        <v>0</v>
      </c>
      <c r="G35" s="12">
        <f t="shared" si="13"/>
        <v>0</v>
      </c>
      <c r="H35" s="12">
        <f t="shared" si="13"/>
        <v>0</v>
      </c>
      <c r="I35" s="12">
        <f t="shared" si="13"/>
        <v>0</v>
      </c>
      <c r="J35" s="12">
        <f t="shared" si="13"/>
        <v>0</v>
      </c>
      <c r="K35" s="12">
        <f t="shared" si="13"/>
        <v>0</v>
      </c>
      <c r="L35" s="12">
        <f t="shared" si="13"/>
        <v>0</v>
      </c>
      <c r="M35" s="12">
        <f t="shared" si="13"/>
        <v>0</v>
      </c>
      <c r="N35" s="12">
        <f t="shared" si="13"/>
        <v>0</v>
      </c>
      <c r="O35" s="12">
        <f t="shared" si="13"/>
        <v>0</v>
      </c>
      <c r="P35" s="12">
        <f t="shared" si="13"/>
        <v>2.2389070182144581</v>
      </c>
      <c r="Q35" s="12">
        <f t="shared" si="13"/>
        <v>2.3761332983642891</v>
      </c>
      <c r="R35" s="12">
        <f t="shared" si="13"/>
        <v>2.4781059643315739</v>
      </c>
      <c r="S35" s="12">
        <f t="shared" si="13"/>
        <v>2.5821180836182052</v>
      </c>
      <c r="T35" s="12">
        <f t="shared" si="13"/>
        <v>2.6882104452905695</v>
      </c>
      <c r="U35" s="12">
        <f t="shared" si="13"/>
        <v>2.7964246541963811</v>
      </c>
      <c r="V35" s="12">
        <f t="shared" si="13"/>
        <v>2.9068031472803089</v>
      </c>
      <c r="W35" s="12">
        <f t="shared" si="13"/>
        <v>3.0193892102259157</v>
      </c>
      <c r="X35" s="12">
        <f t="shared" si="13"/>
        <v>3.1342269944304335</v>
      </c>
      <c r="Y35" s="12">
        <f t="shared" si="13"/>
        <v>3.2513615343190416</v>
      </c>
      <c r="Z35" s="12">
        <f t="shared" si="13"/>
        <v>3.370838765005423</v>
      </c>
      <c r="AA35" s="12">
        <f t="shared" si="13"/>
        <v>6.2152055403055311</v>
      </c>
      <c r="AB35" s="12">
        <f t="shared" si="13"/>
        <v>6.3395096511116424</v>
      </c>
      <c r="AC35" s="12">
        <f t="shared" si="13"/>
        <v>6.4662998441338742</v>
      </c>
      <c r="AD35" s="12">
        <f t="shared" si="13"/>
        <v>6.5956258410165516</v>
      </c>
      <c r="AE35" s="12">
        <f t="shared" si="13"/>
        <v>6.7275383578368828</v>
      </c>
      <c r="AF35" s="12">
        <f t="shared" si="13"/>
        <v>6.8620891249936191</v>
      </c>
      <c r="AG35" s="12">
        <f t="shared" si="13"/>
        <v>6.9993309074934933</v>
      </c>
      <c r="AH35" s="12">
        <f t="shared" si="13"/>
        <v>7.1393175256433619</v>
      </c>
      <c r="AI35" s="12">
        <f t="shared" si="13"/>
        <v>7.2821038761562313</v>
      </c>
      <c r="AJ35" s="12">
        <f t="shared" si="13"/>
        <v>7.4277459536793549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3"/>
        <v>0</v>
      </c>
      <c r="AO35" s="12">
        <f t="shared" si="13"/>
        <v>0</v>
      </c>
      <c r="AP35" s="12">
        <f t="shared" si="13"/>
        <v>0</v>
      </c>
      <c r="AQ35" s="12">
        <f t="shared" si="13"/>
        <v>0</v>
      </c>
    </row>
  </sheetData>
  <mergeCells count="3">
    <mergeCell ref="A8:AQ8"/>
    <mergeCell ref="A15:AQ15"/>
    <mergeCell ref="A27:AQ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A87"/>
  </sheetPr>
  <dimension ref="A1:AQ26"/>
  <sheetViews>
    <sheetView showGridLines="0" zoomScaleNormal="100" workbookViewId="0">
      <pane xSplit="3" ySplit="3" topLeftCell="AI7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40" customWidth="1"/>
    <col min="2" max="3" width="12" customWidth="1"/>
    <col min="4" max="43" width="10.5546875" customWidth="1"/>
  </cols>
  <sheetData>
    <row r="1" spans="1:43" ht="19.5" customHeight="1" x14ac:dyDescent="0.4">
      <c r="A1" s="1" t="s">
        <v>135</v>
      </c>
    </row>
    <row r="2" spans="1:43" ht="15" customHeight="1" x14ac:dyDescent="0.3">
      <c r="A2" s="2" t="s">
        <v>136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8" spans="1:43" ht="18" customHeight="1" x14ac:dyDescent="0.3">
      <c r="A8" s="51" t="s">
        <v>137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spans="1:43" ht="15" customHeight="1" x14ac:dyDescent="0.3">
      <c r="A9" s="3" t="s">
        <v>138</v>
      </c>
      <c r="D9" s="27">
        <f>CAPEX_SU!D10+CAPEX_SU!D11+CAPEX_SU!D12+CAPEX_SU!D13</f>
        <v>92.890025000000009</v>
      </c>
      <c r="E9" s="27">
        <f>CAPEX_SU!E10+CAPEX_SU!E11+CAPEX_SU!E12+CAPEX_SU!E13</f>
        <v>127.3350375</v>
      </c>
      <c r="F9" s="27">
        <f>CAPEX_SU!F10+CAPEX_SU!F11+CAPEX_SU!F12+CAPEX_SU!F13</f>
        <v>70.741687499999998</v>
      </c>
      <c r="G9" s="27">
        <f>CAPEX_SU!G10+CAPEX_SU!G11+CAPEX_SU!G12+CAPEX_SU!G13</f>
        <v>0</v>
      </c>
      <c r="H9" s="27">
        <f>CAPEX_SU!H10+CAPEX_SU!H11+CAPEX_SU!H12+CAPEX_SU!H13</f>
        <v>0</v>
      </c>
      <c r="I9" s="27">
        <f>CAPEX_SU!I10+CAPEX_SU!I11+CAPEX_SU!I12+CAPEX_SU!I13</f>
        <v>0</v>
      </c>
      <c r="J9" s="27">
        <f>CAPEX_SU!J10+CAPEX_SU!J11+CAPEX_SU!J12+CAPEX_SU!J13</f>
        <v>0</v>
      </c>
      <c r="K9" s="27">
        <f>CAPEX_SU!K10+CAPEX_SU!K11+CAPEX_SU!K12+CAPEX_SU!K13</f>
        <v>0</v>
      </c>
      <c r="L9" s="27">
        <f>CAPEX_SU!L10+CAPEX_SU!L11+CAPEX_SU!L12+CAPEX_SU!L13</f>
        <v>0</v>
      </c>
      <c r="M9" s="27">
        <f>CAPEX_SU!M10+CAPEX_SU!M11+CAPEX_SU!M12+CAPEX_SU!M13</f>
        <v>0</v>
      </c>
      <c r="N9" s="27">
        <f>CAPEX_SU!N10+CAPEX_SU!N11+CAPEX_SU!N12+CAPEX_SU!N13</f>
        <v>0</v>
      </c>
      <c r="O9" s="27">
        <f>CAPEX_SU!O10+CAPEX_SU!O11+CAPEX_SU!O12+CAPEX_SU!O13</f>
        <v>0</v>
      </c>
      <c r="P9" s="27">
        <f>CAPEX_SU!P10+CAPEX_SU!P11+CAPEX_SU!P12+CAPEX_SU!P13</f>
        <v>0</v>
      </c>
      <c r="Q9" s="27">
        <f>CAPEX_SU!Q10+CAPEX_SU!Q11+CAPEX_SU!Q12+CAPEX_SU!Q13</f>
        <v>0</v>
      </c>
      <c r="R9" s="27">
        <f>CAPEX_SU!R10+CAPEX_SU!R11+CAPEX_SU!R12+CAPEX_SU!R13</f>
        <v>0</v>
      </c>
      <c r="S9" s="27">
        <f>CAPEX_SU!S10+CAPEX_SU!S11+CAPEX_SU!S12+CAPEX_SU!S13</f>
        <v>0</v>
      </c>
      <c r="T9" s="27">
        <f>CAPEX_SU!T10+CAPEX_SU!T11+CAPEX_SU!T12+CAPEX_SU!T13</f>
        <v>0</v>
      </c>
      <c r="U9" s="27">
        <f>CAPEX_SU!U10+CAPEX_SU!U11+CAPEX_SU!U12+CAPEX_SU!U13</f>
        <v>0</v>
      </c>
      <c r="V9" s="27">
        <f>CAPEX_SU!V10+CAPEX_SU!V11+CAPEX_SU!V12+CAPEX_SU!V13</f>
        <v>0</v>
      </c>
      <c r="W9" s="27">
        <f>CAPEX_SU!W10+CAPEX_SU!W11+CAPEX_SU!W12+CAPEX_SU!W13</f>
        <v>0</v>
      </c>
      <c r="X9" s="27">
        <f>CAPEX_SU!X10+CAPEX_SU!X11+CAPEX_SU!X12+CAPEX_SU!X13</f>
        <v>0</v>
      </c>
      <c r="Y9" s="27">
        <f>CAPEX_SU!Y10+CAPEX_SU!Y11+CAPEX_SU!Y12+CAPEX_SU!Y13</f>
        <v>0</v>
      </c>
      <c r="Z9" s="27">
        <f>CAPEX_SU!Z10+CAPEX_SU!Z11+CAPEX_SU!Z12+CAPEX_SU!Z13</f>
        <v>0</v>
      </c>
      <c r="AA9" s="27">
        <f>CAPEX_SU!AA10+CAPEX_SU!AA11+CAPEX_SU!AA12+CAPEX_SU!AA13</f>
        <v>0</v>
      </c>
      <c r="AB9" s="27">
        <f>CAPEX_SU!AB10+CAPEX_SU!AB11+CAPEX_SU!AB12+CAPEX_SU!AB13</f>
        <v>0</v>
      </c>
      <c r="AC9" s="27">
        <f>CAPEX_SU!AC10+CAPEX_SU!AC11+CAPEX_SU!AC12+CAPEX_SU!AC13</f>
        <v>0</v>
      </c>
      <c r="AD9" s="27">
        <f>CAPEX_SU!AD10+CAPEX_SU!AD11+CAPEX_SU!AD12+CAPEX_SU!AD13</f>
        <v>0</v>
      </c>
      <c r="AE9" s="27">
        <f>CAPEX_SU!AE10+CAPEX_SU!AE11+CAPEX_SU!AE12+CAPEX_SU!AE13</f>
        <v>0</v>
      </c>
      <c r="AF9" s="27">
        <f>CAPEX_SU!AF10+CAPEX_SU!AF11+CAPEX_SU!AF12+CAPEX_SU!AF13</f>
        <v>0</v>
      </c>
      <c r="AG9" s="27">
        <f>CAPEX_SU!AG10+CAPEX_SU!AG11+CAPEX_SU!AG12+CAPEX_SU!AG13</f>
        <v>0</v>
      </c>
      <c r="AH9" s="27">
        <f>CAPEX_SU!AH10+CAPEX_SU!AH11+CAPEX_SU!AH12+CAPEX_SU!AH13</f>
        <v>0</v>
      </c>
      <c r="AI9" s="27">
        <f>CAPEX_SU!AI10+CAPEX_SU!AI11+CAPEX_SU!AI12+CAPEX_SU!AI13</f>
        <v>0</v>
      </c>
      <c r="AJ9" s="27">
        <f>CAPEX_SU!AJ10+CAPEX_SU!AJ11+CAPEX_SU!AJ12+CAPEX_SU!AJ13</f>
        <v>0</v>
      </c>
      <c r="AK9" s="27">
        <f>CAPEX_SU!AK10+CAPEX_SU!AK11+CAPEX_SU!AK12+CAPEX_SU!AK13</f>
        <v>0</v>
      </c>
      <c r="AL9" s="27">
        <f>CAPEX_SU!AL10+CAPEX_SU!AL11+CAPEX_SU!AL12+CAPEX_SU!AL13</f>
        <v>0</v>
      </c>
      <c r="AM9" s="27">
        <f>CAPEX_SU!AM10+CAPEX_SU!AM11+CAPEX_SU!AM12+CAPEX_SU!AM13</f>
        <v>0</v>
      </c>
      <c r="AN9" s="27">
        <f>CAPEX_SU!AN10+CAPEX_SU!AN11+CAPEX_SU!AN12+CAPEX_SU!AN13</f>
        <v>0</v>
      </c>
      <c r="AO9" s="27">
        <f>CAPEX_SU!AO10+CAPEX_SU!AO11+CAPEX_SU!AO12+CAPEX_SU!AO13</f>
        <v>0</v>
      </c>
      <c r="AP9" s="27">
        <f>CAPEX_SU!AP10+CAPEX_SU!AP11+CAPEX_SU!AP12+CAPEX_SU!AP13</f>
        <v>0</v>
      </c>
      <c r="AQ9" s="27">
        <f>CAPEX_SU!AQ10+CAPEX_SU!AQ11+CAPEX_SU!AQ12+CAPEX_SU!AQ13</f>
        <v>0</v>
      </c>
    </row>
    <row r="11" spans="1:43" ht="18" customHeight="1" x14ac:dyDescent="0.3">
      <c r="A11" s="51" t="s">
        <v>139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</row>
    <row r="12" spans="1:43" ht="15" customHeight="1" x14ac:dyDescent="0.3">
      <c r="A12" s="3" t="s">
        <v>140</v>
      </c>
      <c r="D12" s="27">
        <f>Revenue_OPEX!D12</f>
        <v>0</v>
      </c>
      <c r="E12" s="27">
        <f>Revenue_OPEX!E12</f>
        <v>0</v>
      </c>
      <c r="F12" s="27">
        <f>Revenue_OPEX!F12</f>
        <v>0</v>
      </c>
      <c r="G12" s="27">
        <f>Revenue_OPEX!G12</f>
        <v>26.017199999999999</v>
      </c>
      <c r="H12" s="27">
        <f>Revenue_OPEX!H12</f>
        <v>26.537544</v>
      </c>
      <c r="I12" s="27">
        <f>Revenue_OPEX!I12</f>
        <v>27.06829488</v>
      </c>
      <c r="J12" s="27">
        <f>Revenue_OPEX!J12</f>
        <v>27.609660777599995</v>
      </c>
      <c r="K12" s="27">
        <f>Revenue_OPEX!K12</f>
        <v>28.161853993151997</v>
      </c>
      <c r="L12" s="27">
        <f>Revenue_OPEX!L12</f>
        <v>28.725091073015037</v>
      </c>
      <c r="M12" s="27">
        <f>Revenue_OPEX!M12</f>
        <v>29.299592894475346</v>
      </c>
      <c r="N12" s="27">
        <f>Revenue_OPEX!N12</f>
        <v>29.885584752364842</v>
      </c>
      <c r="O12" s="27">
        <f>Revenue_OPEX!O12</f>
        <v>30.483296447412144</v>
      </c>
      <c r="P12" s="27">
        <f>Revenue_OPEX!P12</f>
        <v>31.092962376360383</v>
      </c>
      <c r="Q12" s="27">
        <f>Revenue_OPEX!Q12</f>
        <v>31.714821623887595</v>
      </c>
      <c r="R12" s="27">
        <f>Revenue_OPEX!R12</f>
        <v>32.349118056365342</v>
      </c>
      <c r="S12" s="27">
        <f>Revenue_OPEX!S12</f>
        <v>32.996100417492649</v>
      </c>
      <c r="T12" s="27">
        <f>Revenue_OPEX!T12</f>
        <v>33.656022425842501</v>
      </c>
      <c r="U12" s="27">
        <f>Revenue_OPEX!U12</f>
        <v>34.329142874359356</v>
      </c>
      <c r="V12" s="27">
        <f>Revenue_OPEX!V12</f>
        <v>35.015725731846537</v>
      </c>
      <c r="W12" s="27">
        <f>Revenue_OPEX!W12</f>
        <v>35.716040246483473</v>
      </c>
      <c r="X12" s="27">
        <f>Revenue_OPEX!X12</f>
        <v>36.430361051413144</v>
      </c>
      <c r="Y12" s="27">
        <f>Revenue_OPEX!Y12</f>
        <v>37.158968272441399</v>
      </c>
      <c r="Z12" s="27">
        <f>Revenue_OPEX!Z12</f>
        <v>37.902147637890231</v>
      </c>
      <c r="AA12" s="27">
        <f>Revenue_OPEX!AA12</f>
        <v>38.660190590648035</v>
      </c>
      <c r="AB12" s="27">
        <f>Revenue_OPEX!AB12</f>
        <v>39.433394402460998</v>
      </c>
      <c r="AC12" s="27">
        <f>Revenue_OPEX!AC12</f>
        <v>40.222062290510216</v>
      </c>
      <c r="AD12" s="27">
        <f>Revenue_OPEX!AD12</f>
        <v>41.026503536320412</v>
      </c>
      <c r="AE12" s="27">
        <f>Revenue_OPEX!AE12</f>
        <v>41.847033607046825</v>
      </c>
      <c r="AF12" s="27">
        <f>Revenue_OPEX!AF12</f>
        <v>42.683974279187758</v>
      </c>
      <c r="AG12" s="27">
        <f>Revenue_OPEX!AG12</f>
        <v>43.53765376477152</v>
      </c>
      <c r="AH12" s="27">
        <f>Revenue_OPEX!AH12</f>
        <v>44.408406840066945</v>
      </c>
      <c r="AI12" s="27">
        <f>Revenue_OPEX!AI12</f>
        <v>45.296574976868293</v>
      </c>
      <c r="AJ12" s="27">
        <f>Revenue_OPEX!AJ12</f>
        <v>46.202506476405652</v>
      </c>
      <c r="AK12" s="27">
        <f>Revenue_OPEX!AK12</f>
        <v>0</v>
      </c>
      <c r="AL12" s="27">
        <f>Revenue_OPEX!AL12</f>
        <v>0</v>
      </c>
      <c r="AM12" s="27">
        <f>Revenue_OPEX!AM12</f>
        <v>0</v>
      </c>
      <c r="AN12" s="27">
        <f>Revenue_OPEX!AN12</f>
        <v>0</v>
      </c>
      <c r="AO12" s="27">
        <f>Revenue_OPEX!AO12</f>
        <v>0</v>
      </c>
      <c r="AP12" s="27">
        <f>Revenue_OPEX!AP12</f>
        <v>0</v>
      </c>
      <c r="AQ12" s="27">
        <f>Revenue_OPEX!AQ12</f>
        <v>0</v>
      </c>
    </row>
    <row r="13" spans="1:43" ht="15" customHeight="1" x14ac:dyDescent="0.3">
      <c r="A13" s="3" t="s">
        <v>141</v>
      </c>
      <c r="D13" s="27">
        <f>Revenue_OPEX!D17</f>
        <v>0</v>
      </c>
      <c r="E13" s="27">
        <f>Revenue_OPEX!E17</f>
        <v>0</v>
      </c>
      <c r="F13" s="27">
        <f>Revenue_OPEX!F17</f>
        <v>0</v>
      </c>
      <c r="G13" s="27">
        <f>Revenue_OPEX!G17</f>
        <v>7.0051310999999998</v>
      </c>
      <c r="H13" s="27">
        <f>Revenue_OPEX!H17</f>
        <v>7.1452337220000004</v>
      </c>
      <c r="I13" s="27">
        <f>Revenue_OPEX!I17</f>
        <v>7.2881383964399999</v>
      </c>
      <c r="J13" s="27">
        <f>Revenue_OPEX!J17</f>
        <v>7.4339011643688</v>
      </c>
      <c r="K13" s="27">
        <f>Revenue_OPEX!K17</f>
        <v>7.5825791876561759</v>
      </c>
      <c r="L13" s="27">
        <f>Revenue_OPEX!L17</f>
        <v>7.7342307714093002</v>
      </c>
      <c r="M13" s="27">
        <f>Revenue_OPEX!M17</f>
        <v>7.8889153868374855</v>
      </c>
      <c r="N13" s="27">
        <f>Revenue_OPEX!N17</f>
        <v>8.046693694574234</v>
      </c>
      <c r="O13" s="27">
        <f>Revenue_OPEX!O17</f>
        <v>8.2076275684657194</v>
      </c>
      <c r="P13" s="27">
        <f>Revenue_OPEX!P17</f>
        <v>8.3717801198350337</v>
      </c>
      <c r="Q13" s="27">
        <f>Revenue_OPEX!Q17</f>
        <v>8.5392157222317344</v>
      </c>
      <c r="R13" s="27">
        <f>Revenue_OPEX!R17</f>
        <v>8.7100000366763677</v>
      </c>
      <c r="S13" s="27">
        <f>Revenue_OPEX!S17</f>
        <v>8.8842000374098973</v>
      </c>
      <c r="T13" s="27">
        <f>Revenue_OPEX!T17</f>
        <v>9.0618840381580945</v>
      </c>
      <c r="U13" s="27">
        <f>Revenue_OPEX!U17</f>
        <v>9.2431217189212571</v>
      </c>
      <c r="V13" s="27">
        <f>Revenue_OPEX!V17</f>
        <v>9.4279841532996791</v>
      </c>
      <c r="W13" s="27">
        <f>Revenue_OPEX!W17</f>
        <v>9.6165438363656754</v>
      </c>
      <c r="X13" s="27">
        <f>Revenue_OPEX!X17</f>
        <v>9.8088747130929885</v>
      </c>
      <c r="Y13" s="27">
        <f>Revenue_OPEX!Y17</f>
        <v>10.005052207354847</v>
      </c>
      <c r="Z13" s="27">
        <f>Revenue_OPEX!Z17</f>
        <v>10.205153251501944</v>
      </c>
      <c r="AA13" s="27">
        <f>Revenue_OPEX!AA17</f>
        <v>10.409256316531984</v>
      </c>
      <c r="AB13" s="27">
        <f>Revenue_OPEX!AB17</f>
        <v>10.617441442862624</v>
      </c>
      <c r="AC13" s="27">
        <f>Revenue_OPEX!AC17</f>
        <v>10.829790271719878</v>
      </c>
      <c r="AD13" s="27">
        <f>Revenue_OPEX!AD17</f>
        <v>11.046386077154271</v>
      </c>
      <c r="AE13" s="27">
        <f>Revenue_OPEX!AE17</f>
        <v>11.267313798697357</v>
      </c>
      <c r="AF13" s="27">
        <f>Revenue_OPEX!AF17</f>
        <v>11.492660074671306</v>
      </c>
      <c r="AG13" s="27">
        <f>Revenue_OPEX!AG17</f>
        <v>11.722513276164731</v>
      </c>
      <c r="AH13" s="27">
        <f>Revenue_OPEX!AH17</f>
        <v>11.956963541688024</v>
      </c>
      <c r="AI13" s="27">
        <f>Revenue_OPEX!AI17</f>
        <v>12.196102812521788</v>
      </c>
      <c r="AJ13" s="27">
        <f>Revenue_OPEX!AJ17</f>
        <v>12.440024868772221</v>
      </c>
      <c r="AK13" s="27">
        <f>Revenue_OPEX!AK17</f>
        <v>0</v>
      </c>
      <c r="AL13" s="27">
        <f>Revenue_OPEX!AL17</f>
        <v>0</v>
      </c>
      <c r="AM13" s="27">
        <f>Revenue_OPEX!AM17</f>
        <v>0</v>
      </c>
      <c r="AN13" s="27">
        <f>Revenue_OPEX!AN17</f>
        <v>0</v>
      </c>
      <c r="AO13" s="27">
        <f>Revenue_OPEX!AO17</f>
        <v>0</v>
      </c>
      <c r="AP13" s="27">
        <f>Revenue_OPEX!AP17</f>
        <v>0</v>
      </c>
      <c r="AQ13" s="27">
        <f>Revenue_OPEX!AQ17</f>
        <v>0</v>
      </c>
    </row>
    <row r="14" spans="1:43" ht="15" customHeight="1" x14ac:dyDescent="0.3">
      <c r="A14" s="6" t="s">
        <v>115</v>
      </c>
      <c r="D14" s="32">
        <f>Revenue_OPEX!D19</f>
        <v>0</v>
      </c>
      <c r="E14" s="32">
        <f>Revenue_OPEX!E19</f>
        <v>0</v>
      </c>
      <c r="F14" s="32">
        <f>Revenue_OPEX!F19</f>
        <v>0</v>
      </c>
      <c r="G14" s="32">
        <f>Revenue_OPEX!G19</f>
        <v>19.012068899999999</v>
      </c>
      <c r="H14" s="32">
        <f>Revenue_OPEX!H19</f>
        <v>19.392310278</v>
      </c>
      <c r="I14" s="32">
        <f>Revenue_OPEX!I19</f>
        <v>19.780156483559999</v>
      </c>
      <c r="J14" s="32">
        <f>Revenue_OPEX!J19</f>
        <v>20.175759613231193</v>
      </c>
      <c r="K14" s="32">
        <f>Revenue_OPEX!K19</f>
        <v>20.579274805495821</v>
      </c>
      <c r="L14" s="32">
        <f>Revenue_OPEX!L19</f>
        <v>20.990860301605736</v>
      </c>
      <c r="M14" s="32">
        <f>Revenue_OPEX!M19</f>
        <v>21.41067750763786</v>
      </c>
      <c r="N14" s="32">
        <f>Revenue_OPEX!N19</f>
        <v>21.838891057790608</v>
      </c>
      <c r="O14" s="32">
        <f>Revenue_OPEX!O19</f>
        <v>22.275668878946426</v>
      </c>
      <c r="P14" s="32">
        <f>Revenue_OPEX!P19</f>
        <v>22.721182256525349</v>
      </c>
      <c r="Q14" s="32">
        <f>Revenue_OPEX!Q19</f>
        <v>23.17560590165586</v>
      </c>
      <c r="R14" s="32">
        <f>Revenue_OPEX!R19</f>
        <v>23.639118019688972</v>
      </c>
      <c r="S14" s="32">
        <f>Revenue_OPEX!S19</f>
        <v>24.111900380082751</v>
      </c>
      <c r="T14" s="32">
        <f>Revenue_OPEX!T19</f>
        <v>24.594138387684406</v>
      </c>
      <c r="U14" s="32">
        <f>Revenue_OPEX!U19</f>
        <v>25.086021155438097</v>
      </c>
      <c r="V14" s="32">
        <f>Revenue_OPEX!V19</f>
        <v>25.587741578546858</v>
      </c>
      <c r="W14" s="32">
        <f>Revenue_OPEX!W19</f>
        <v>26.099496410117798</v>
      </c>
      <c r="X14" s="32">
        <f>Revenue_OPEX!X19</f>
        <v>26.621486338320153</v>
      </c>
      <c r="Y14" s="32">
        <f>Revenue_OPEX!Y19</f>
        <v>27.153916065086552</v>
      </c>
      <c r="Z14" s="32">
        <f>Revenue_OPEX!Z19</f>
        <v>27.696994386388287</v>
      </c>
      <c r="AA14" s="32">
        <f>Revenue_OPEX!AA19</f>
        <v>28.250934274116052</v>
      </c>
      <c r="AB14" s="32">
        <f>Revenue_OPEX!AB19</f>
        <v>28.815952959598373</v>
      </c>
      <c r="AC14" s="32">
        <f>Revenue_OPEX!AC19</f>
        <v>29.392272018790337</v>
      </c>
      <c r="AD14" s="32">
        <f>Revenue_OPEX!AD19</f>
        <v>29.980117459166141</v>
      </c>
      <c r="AE14" s="32">
        <f>Revenue_OPEX!AE19</f>
        <v>30.579719808349466</v>
      </c>
      <c r="AF14" s="32">
        <f>Revenue_OPEX!AF19</f>
        <v>31.191314204516452</v>
      </c>
      <c r="AG14" s="32">
        <f>Revenue_OPEX!AG19</f>
        <v>31.815140488606787</v>
      </c>
      <c r="AH14" s="32">
        <f>Revenue_OPEX!AH19</f>
        <v>32.451443298378919</v>
      </c>
      <c r="AI14" s="32">
        <f>Revenue_OPEX!AI19</f>
        <v>33.100472164346506</v>
      </c>
      <c r="AJ14" s="32">
        <f>Revenue_OPEX!AJ19</f>
        <v>33.762481607633433</v>
      </c>
      <c r="AK14" s="32">
        <f>Revenue_OPEX!AK19</f>
        <v>0</v>
      </c>
      <c r="AL14" s="32">
        <f>Revenue_OPEX!AL19</f>
        <v>0</v>
      </c>
      <c r="AM14" s="32">
        <f>Revenue_OPEX!AM19</f>
        <v>0</v>
      </c>
      <c r="AN14" s="32">
        <f>Revenue_OPEX!AN19</f>
        <v>0</v>
      </c>
      <c r="AO14" s="32">
        <f>Revenue_OPEX!AO19</f>
        <v>0</v>
      </c>
      <c r="AP14" s="32">
        <f>Revenue_OPEX!AP19</f>
        <v>0</v>
      </c>
      <c r="AQ14" s="32">
        <f>Revenue_OPEX!AQ19</f>
        <v>0</v>
      </c>
    </row>
    <row r="15" spans="1:43" ht="15" customHeight="1" x14ac:dyDescent="0.3">
      <c r="A15" s="3" t="s">
        <v>142</v>
      </c>
      <c r="D15" s="27">
        <f>Tax!D13</f>
        <v>0</v>
      </c>
      <c r="E15" s="27">
        <f>Tax!E13</f>
        <v>0</v>
      </c>
      <c r="F15" s="27">
        <f>Tax!F13</f>
        <v>0</v>
      </c>
      <c r="G15" s="27">
        <f>Tax!G13</f>
        <v>8.25</v>
      </c>
      <c r="H15" s="27">
        <f>Tax!H13</f>
        <v>8.25</v>
      </c>
      <c r="I15" s="27">
        <f>Tax!I13</f>
        <v>8.25</v>
      </c>
      <c r="J15" s="27">
        <f>Tax!J13</f>
        <v>8.25</v>
      </c>
      <c r="K15" s="27">
        <f>Tax!K13</f>
        <v>8.25</v>
      </c>
      <c r="L15" s="27">
        <f>Tax!L13</f>
        <v>8.25</v>
      </c>
      <c r="M15" s="27">
        <f>Tax!M13</f>
        <v>8.25</v>
      </c>
      <c r="N15" s="27">
        <f>Tax!N13</f>
        <v>8.25</v>
      </c>
      <c r="O15" s="27">
        <f>Tax!O13</f>
        <v>8.25</v>
      </c>
      <c r="P15" s="27">
        <f>Tax!P13</f>
        <v>8.25</v>
      </c>
      <c r="Q15" s="27">
        <f>Tax!Q13</f>
        <v>8.25</v>
      </c>
      <c r="R15" s="27">
        <f>Tax!R13</f>
        <v>8.25</v>
      </c>
      <c r="S15" s="27">
        <f>Tax!S13</f>
        <v>8.25</v>
      </c>
      <c r="T15" s="27">
        <f>Tax!T13</f>
        <v>8.25</v>
      </c>
      <c r="U15" s="27">
        <f>Tax!U13</f>
        <v>8.25</v>
      </c>
      <c r="V15" s="27">
        <f>Tax!V13</f>
        <v>8.25</v>
      </c>
      <c r="W15" s="27">
        <f>Tax!W13</f>
        <v>8.25</v>
      </c>
      <c r="X15" s="27">
        <f>Tax!X13</f>
        <v>8.25</v>
      </c>
      <c r="Y15" s="27">
        <f>Tax!Y13</f>
        <v>8.25</v>
      </c>
      <c r="Z15" s="27">
        <f>Tax!Z13</f>
        <v>8.25</v>
      </c>
      <c r="AA15" s="27">
        <f>Tax!AA13</f>
        <v>8.25</v>
      </c>
      <c r="AB15" s="27">
        <f>Tax!AB13</f>
        <v>8.25</v>
      </c>
      <c r="AC15" s="27">
        <f>Tax!AC13</f>
        <v>8.25</v>
      </c>
      <c r="AD15" s="27">
        <f>Tax!AD13</f>
        <v>8.25</v>
      </c>
      <c r="AE15" s="27">
        <f>Tax!AE13</f>
        <v>8.25</v>
      </c>
      <c r="AF15" s="27">
        <f>Tax!AF13</f>
        <v>8.25</v>
      </c>
      <c r="AG15" s="27">
        <f>Tax!AG13</f>
        <v>8.25</v>
      </c>
      <c r="AH15" s="27">
        <f>Tax!AH13</f>
        <v>8.25</v>
      </c>
      <c r="AI15" s="27">
        <f>Tax!AI13</f>
        <v>8.25</v>
      </c>
      <c r="AJ15" s="27">
        <f>Tax!AJ13</f>
        <v>8.25</v>
      </c>
      <c r="AK15" s="27">
        <f>Tax!AK13</f>
        <v>0</v>
      </c>
      <c r="AL15" s="27">
        <f>Tax!AL13</f>
        <v>0</v>
      </c>
      <c r="AM15" s="27">
        <f>Tax!AM13</f>
        <v>0</v>
      </c>
      <c r="AN15" s="27">
        <f>Tax!AN13</f>
        <v>0</v>
      </c>
      <c r="AO15" s="27">
        <f>Tax!AO13</f>
        <v>0</v>
      </c>
      <c r="AP15" s="27">
        <f>Tax!AP13</f>
        <v>0</v>
      </c>
      <c r="AQ15" s="27">
        <f>Tax!AQ13</f>
        <v>0</v>
      </c>
    </row>
    <row r="16" spans="1:43" ht="15" customHeight="1" x14ac:dyDescent="0.3">
      <c r="A16" s="3" t="s">
        <v>143</v>
      </c>
      <c r="D16" s="26">
        <f t="shared" ref="D16:AQ16" si="0">D14-D15</f>
        <v>0</v>
      </c>
      <c r="E16" s="26">
        <f t="shared" si="0"/>
        <v>0</v>
      </c>
      <c r="F16" s="26">
        <f t="shared" si="0"/>
        <v>0</v>
      </c>
      <c r="G16" s="26">
        <f t="shared" si="0"/>
        <v>10.762068899999999</v>
      </c>
      <c r="H16" s="26">
        <f t="shared" si="0"/>
        <v>11.142310278</v>
      </c>
      <c r="I16" s="26">
        <f t="shared" si="0"/>
        <v>11.530156483559999</v>
      </c>
      <c r="J16" s="26">
        <f t="shared" si="0"/>
        <v>11.925759613231193</v>
      </c>
      <c r="K16" s="26">
        <f t="shared" si="0"/>
        <v>12.329274805495821</v>
      </c>
      <c r="L16" s="26">
        <f t="shared" si="0"/>
        <v>12.740860301605736</v>
      </c>
      <c r="M16" s="26">
        <f t="shared" si="0"/>
        <v>13.16067750763786</v>
      </c>
      <c r="N16" s="26">
        <f t="shared" si="0"/>
        <v>13.588891057790608</v>
      </c>
      <c r="O16" s="26">
        <f t="shared" si="0"/>
        <v>14.025668878946426</v>
      </c>
      <c r="P16" s="26">
        <f t="shared" si="0"/>
        <v>14.471182256525349</v>
      </c>
      <c r="Q16" s="26">
        <f t="shared" si="0"/>
        <v>14.92560590165586</v>
      </c>
      <c r="R16" s="26">
        <f t="shared" si="0"/>
        <v>15.389118019688972</v>
      </c>
      <c r="S16" s="26">
        <f t="shared" si="0"/>
        <v>15.861900380082751</v>
      </c>
      <c r="T16" s="26">
        <f t="shared" si="0"/>
        <v>16.344138387684406</v>
      </c>
      <c r="U16" s="26">
        <f t="shared" si="0"/>
        <v>16.836021155438097</v>
      </c>
      <c r="V16" s="26">
        <f t="shared" si="0"/>
        <v>17.337741578546858</v>
      </c>
      <c r="W16" s="26">
        <f t="shared" si="0"/>
        <v>17.849496410117798</v>
      </c>
      <c r="X16" s="26">
        <f t="shared" si="0"/>
        <v>18.371486338320153</v>
      </c>
      <c r="Y16" s="26">
        <f t="shared" si="0"/>
        <v>18.903916065086552</v>
      </c>
      <c r="Z16" s="26">
        <f t="shared" si="0"/>
        <v>19.446994386388287</v>
      </c>
      <c r="AA16" s="26">
        <f t="shared" si="0"/>
        <v>20.000934274116052</v>
      </c>
      <c r="AB16" s="26">
        <f t="shared" si="0"/>
        <v>20.565952959598373</v>
      </c>
      <c r="AC16" s="26">
        <f t="shared" si="0"/>
        <v>21.142272018790337</v>
      </c>
      <c r="AD16" s="26">
        <f t="shared" si="0"/>
        <v>21.730117459166141</v>
      </c>
      <c r="AE16" s="26">
        <f t="shared" si="0"/>
        <v>22.329719808349466</v>
      </c>
      <c r="AF16" s="26">
        <f t="shared" si="0"/>
        <v>22.941314204516452</v>
      </c>
      <c r="AG16" s="26">
        <f t="shared" si="0"/>
        <v>23.565140488606787</v>
      </c>
      <c r="AH16" s="26">
        <f t="shared" si="0"/>
        <v>24.201443298378919</v>
      </c>
      <c r="AI16" s="26">
        <f t="shared" si="0"/>
        <v>24.850472164346506</v>
      </c>
      <c r="AJ16" s="26">
        <f t="shared" si="0"/>
        <v>25.512481607633433</v>
      </c>
      <c r="AK16" s="26">
        <f t="shared" si="0"/>
        <v>0</v>
      </c>
      <c r="AL16" s="26">
        <f t="shared" si="0"/>
        <v>0</v>
      </c>
      <c r="AM16" s="26">
        <f t="shared" si="0"/>
        <v>0</v>
      </c>
      <c r="AN16" s="26">
        <f t="shared" si="0"/>
        <v>0</v>
      </c>
      <c r="AO16" s="26">
        <f t="shared" si="0"/>
        <v>0</v>
      </c>
      <c r="AP16" s="26">
        <f t="shared" si="0"/>
        <v>0</v>
      </c>
      <c r="AQ16" s="26">
        <f t="shared" si="0"/>
        <v>0</v>
      </c>
    </row>
    <row r="17" spans="1:43" ht="15" customHeight="1" x14ac:dyDescent="0.3">
      <c r="A17" s="3" t="s">
        <v>116</v>
      </c>
      <c r="D17" s="27">
        <f>Debt!D23</f>
        <v>0</v>
      </c>
      <c r="E17" s="27">
        <f>Debt!E23</f>
        <v>0</v>
      </c>
      <c r="F17" s="27">
        <f>Debt!F23</f>
        <v>0</v>
      </c>
      <c r="G17" s="27">
        <f ca="1">Debt!G23</f>
        <v>9.8631599086056703</v>
      </c>
      <c r="H17" s="27">
        <f ca="1">Debt!H23</f>
        <v>9.5731747576650399</v>
      </c>
      <c r="I17" s="27">
        <f ca="1">Debt!I23</f>
        <v>9.2457187610132667</v>
      </c>
      <c r="J17" s="27">
        <f ca="1">Debt!J23</f>
        <v>8.8779838774611282</v>
      </c>
      <c r="K17" s="27">
        <f ca="1">Debt!K23</f>
        <v>8.4669720944177396</v>
      </c>
      <c r="L17" s="27">
        <f ca="1">Debt!L23</f>
        <v>8.0094829307749524</v>
      </c>
      <c r="M17" s="27">
        <f ca="1">Debt!M23</f>
        <v>7.5021001244998375</v>
      </c>
      <c r="N17" s="27">
        <f ca="1">Debt!N23</f>
        <v>6.9411774518812814</v>
      </c>
      <c r="O17" s="27">
        <f ca="1">Debt!O23</f>
        <v>6.322823621928265</v>
      </c>
      <c r="P17" s="27">
        <f ca="1">Debt!P23</f>
        <v>5.6428861857418786</v>
      </c>
      <c r="Q17" s="27">
        <f ca="1">Debt!Q23</f>
        <v>4.8969343967710257</v>
      </c>
      <c r="R17" s="27">
        <f ca="1">Debt!R23</f>
        <v>4.0802409536962596</v>
      </c>
      <c r="S17" s="27">
        <f ca="1">Debt!S23</f>
        <v>3.1877625532443714</v>
      </c>
      <c r="T17" s="27">
        <f ca="1">Debt!T23</f>
        <v>2.2141191755142309</v>
      </c>
      <c r="U17" s="27">
        <f ca="1">Debt!U23</f>
        <v>1.1535720193578127</v>
      </c>
      <c r="V17" s="27">
        <f>Debt!V23</f>
        <v>0</v>
      </c>
      <c r="W17" s="27">
        <f>Debt!W23</f>
        <v>0</v>
      </c>
      <c r="X17" s="27">
        <f>Debt!X23</f>
        <v>0</v>
      </c>
      <c r="Y17" s="27">
        <f>Debt!Y23</f>
        <v>0</v>
      </c>
      <c r="Z17" s="27">
        <f>Debt!Z23</f>
        <v>0</v>
      </c>
      <c r="AA17" s="27">
        <f>Debt!AA23</f>
        <v>0</v>
      </c>
      <c r="AB17" s="27">
        <f>Debt!AB23</f>
        <v>0</v>
      </c>
      <c r="AC17" s="27">
        <f>Debt!AC23</f>
        <v>0</v>
      </c>
      <c r="AD17" s="27">
        <f>Debt!AD23</f>
        <v>0</v>
      </c>
      <c r="AE17" s="27">
        <f>Debt!AE23</f>
        <v>0</v>
      </c>
      <c r="AF17" s="27">
        <f>Debt!AF23</f>
        <v>0</v>
      </c>
      <c r="AG17" s="27">
        <f>Debt!AG23</f>
        <v>0</v>
      </c>
      <c r="AH17" s="27">
        <f>Debt!AH23</f>
        <v>0</v>
      </c>
      <c r="AI17" s="27">
        <f>Debt!AI23</f>
        <v>0</v>
      </c>
      <c r="AJ17" s="27">
        <f>Debt!AJ23</f>
        <v>0</v>
      </c>
      <c r="AK17" s="27">
        <f>Debt!AK23</f>
        <v>0</v>
      </c>
      <c r="AL17" s="27">
        <f>Debt!AL23</f>
        <v>0</v>
      </c>
      <c r="AM17" s="27">
        <f>Debt!AM23</f>
        <v>0</v>
      </c>
      <c r="AN17" s="27">
        <f>Debt!AN23</f>
        <v>0</v>
      </c>
      <c r="AO17" s="27">
        <f>Debt!AO23</f>
        <v>0</v>
      </c>
      <c r="AP17" s="27">
        <f>Debt!AP23</f>
        <v>0</v>
      </c>
      <c r="AQ17" s="27">
        <f>Debt!AQ23</f>
        <v>0</v>
      </c>
    </row>
    <row r="18" spans="1:43" ht="15" customHeight="1" x14ac:dyDescent="0.3">
      <c r="A18" s="3" t="s">
        <v>125</v>
      </c>
      <c r="D18" s="27">
        <f>Tax!D25</f>
        <v>0</v>
      </c>
      <c r="E18" s="27">
        <f>Tax!E25</f>
        <v>0</v>
      </c>
      <c r="F18" s="27">
        <f>Tax!F25</f>
        <v>0</v>
      </c>
      <c r="G18" s="27">
        <f>Tax!G25</f>
        <v>0</v>
      </c>
      <c r="H18" s="27">
        <f>Tax!H25</f>
        <v>0</v>
      </c>
      <c r="I18" s="27">
        <f>Tax!I25</f>
        <v>0</v>
      </c>
      <c r="J18" s="27">
        <f>Tax!J25</f>
        <v>0</v>
      </c>
      <c r="K18" s="27">
        <f>Tax!K25</f>
        <v>0</v>
      </c>
      <c r="L18" s="27">
        <f ca="1">Tax!L25</f>
        <v>0</v>
      </c>
      <c r="M18" s="27">
        <f ca="1">Tax!M25</f>
        <v>0</v>
      </c>
      <c r="N18" s="27">
        <f ca="1">Tax!N25</f>
        <v>0</v>
      </c>
      <c r="O18" s="27">
        <f ca="1">Tax!O25</f>
        <v>0</v>
      </c>
      <c r="P18" s="27">
        <f ca="1">Tax!P25</f>
        <v>0</v>
      </c>
      <c r="Q18" s="27">
        <f ca="1">Tax!Q25</f>
        <v>0</v>
      </c>
      <c r="R18" s="27">
        <f ca="1">Tax!R25</f>
        <v>0</v>
      </c>
      <c r="S18" s="27">
        <f ca="1">Tax!S25</f>
        <v>0</v>
      </c>
      <c r="T18" s="27">
        <f ca="1">Tax!T25</f>
        <v>0</v>
      </c>
      <c r="U18" s="27">
        <f ca="1">Tax!U25</f>
        <v>0</v>
      </c>
      <c r="V18" s="27">
        <f ca="1">Tax!V25</f>
        <v>0</v>
      </c>
      <c r="W18" s="27">
        <f ca="1">Tax!W25</f>
        <v>0</v>
      </c>
      <c r="X18" s="27">
        <f ca="1">Tax!X25</f>
        <v>3.1051348771862295</v>
      </c>
      <c r="Y18" s="27">
        <f ca="1">Tax!Y25</f>
        <v>3.2513615343190416</v>
      </c>
      <c r="Z18" s="27">
        <f ca="1">Tax!Z25</f>
        <v>3.370838765005423</v>
      </c>
      <c r="AA18" s="27">
        <f ca="1">Tax!AA25</f>
        <v>6.2152055403055311</v>
      </c>
      <c r="AB18" s="27">
        <f ca="1">Tax!AB25</f>
        <v>6.3395096511116424</v>
      </c>
      <c r="AC18" s="27">
        <f ca="1">Tax!AC25</f>
        <v>6.4662998441338742</v>
      </c>
      <c r="AD18" s="27">
        <f ca="1">Tax!AD25</f>
        <v>6.5956258410165516</v>
      </c>
      <c r="AE18" s="27">
        <f ca="1">Tax!AE25</f>
        <v>6.7275383578368828</v>
      </c>
      <c r="AF18" s="27">
        <f ca="1">Tax!AF25</f>
        <v>6.8620891249936191</v>
      </c>
      <c r="AG18" s="27">
        <f ca="1">Tax!AG25</f>
        <v>6.9993309074934933</v>
      </c>
      <c r="AH18" s="27">
        <f ca="1">Tax!AH25</f>
        <v>7.1393175256433619</v>
      </c>
      <c r="AI18" s="27">
        <f ca="1">Tax!AI25</f>
        <v>7.2821038761562313</v>
      </c>
      <c r="AJ18" s="27">
        <f ca="1">Tax!AJ25</f>
        <v>7.4277459536793549</v>
      </c>
      <c r="AK18" s="27">
        <f ca="1">Tax!AK25</f>
        <v>0</v>
      </c>
      <c r="AL18" s="27">
        <f ca="1">Tax!AL25</f>
        <v>0</v>
      </c>
      <c r="AM18" s="27">
        <f ca="1">Tax!AM25</f>
        <v>0</v>
      </c>
      <c r="AN18" s="27">
        <f ca="1">Tax!AN25</f>
        <v>0</v>
      </c>
      <c r="AO18" s="27">
        <f ca="1">Tax!AO25</f>
        <v>0</v>
      </c>
      <c r="AP18" s="27">
        <f ca="1">Tax!AP25</f>
        <v>0</v>
      </c>
      <c r="AQ18" s="27">
        <f ca="1">Tax!AQ25</f>
        <v>0</v>
      </c>
    </row>
    <row r="19" spans="1:43" ht="15" customHeight="1" x14ac:dyDescent="0.3">
      <c r="A19" s="3" t="s">
        <v>144</v>
      </c>
      <c r="D19" s="26">
        <f t="shared" ref="D19:AQ19" si="1">D14-D18</f>
        <v>0</v>
      </c>
      <c r="E19" s="26">
        <f t="shared" si="1"/>
        <v>0</v>
      </c>
      <c r="F19" s="26">
        <f t="shared" si="1"/>
        <v>0</v>
      </c>
      <c r="G19" s="26">
        <f t="shared" si="1"/>
        <v>19.012068899999999</v>
      </c>
      <c r="H19" s="26">
        <f t="shared" si="1"/>
        <v>19.392310278</v>
      </c>
      <c r="I19" s="26">
        <f t="shared" si="1"/>
        <v>19.780156483559999</v>
      </c>
      <c r="J19" s="26">
        <f t="shared" si="1"/>
        <v>20.175759613231193</v>
      </c>
      <c r="K19" s="26">
        <f t="shared" si="1"/>
        <v>20.579274805495821</v>
      </c>
      <c r="L19" s="26">
        <f t="shared" ca="1" si="1"/>
        <v>20.990860301605736</v>
      </c>
      <c r="M19" s="26">
        <f t="shared" ca="1" si="1"/>
        <v>21.41067750763786</v>
      </c>
      <c r="N19" s="26">
        <f t="shared" ca="1" si="1"/>
        <v>21.838891057790608</v>
      </c>
      <c r="O19" s="26">
        <f t="shared" ca="1" si="1"/>
        <v>22.275668878946426</v>
      </c>
      <c r="P19" s="26">
        <f t="shared" ca="1" si="1"/>
        <v>22.721182256525349</v>
      </c>
      <c r="Q19" s="26">
        <f t="shared" ca="1" si="1"/>
        <v>23.17560590165586</v>
      </c>
      <c r="R19" s="26">
        <f t="shared" ca="1" si="1"/>
        <v>23.639118019688972</v>
      </c>
      <c r="S19" s="26">
        <f t="shared" ca="1" si="1"/>
        <v>24.111900380082751</v>
      </c>
      <c r="T19" s="26">
        <f t="shared" ca="1" si="1"/>
        <v>24.594138387684406</v>
      </c>
      <c r="U19" s="26">
        <f t="shared" ca="1" si="1"/>
        <v>25.086021155438097</v>
      </c>
      <c r="V19" s="26">
        <f t="shared" ca="1" si="1"/>
        <v>25.587741578546858</v>
      </c>
      <c r="W19" s="26">
        <f t="shared" ca="1" si="1"/>
        <v>26.099496410117798</v>
      </c>
      <c r="X19" s="26">
        <f t="shared" ca="1" si="1"/>
        <v>23.516351461133922</v>
      </c>
      <c r="Y19" s="26">
        <f t="shared" ca="1" si="1"/>
        <v>23.90255453076751</v>
      </c>
      <c r="Z19" s="26">
        <f t="shared" ca="1" si="1"/>
        <v>24.326155621382863</v>
      </c>
      <c r="AA19" s="26">
        <f t="shared" ca="1" si="1"/>
        <v>22.035728733810522</v>
      </c>
      <c r="AB19" s="26">
        <f t="shared" ca="1" si="1"/>
        <v>22.476443308486729</v>
      </c>
      <c r="AC19" s="26">
        <f t="shared" ca="1" si="1"/>
        <v>22.925972174656462</v>
      </c>
      <c r="AD19" s="26">
        <f t="shared" ca="1" si="1"/>
        <v>23.384491618149589</v>
      </c>
      <c r="AE19" s="26">
        <f t="shared" ca="1" si="1"/>
        <v>23.852181450512582</v>
      </c>
      <c r="AF19" s="26">
        <f t="shared" ca="1" si="1"/>
        <v>24.329225079522832</v>
      </c>
      <c r="AG19" s="26">
        <f t="shared" ca="1" si="1"/>
        <v>24.815809581113292</v>
      </c>
      <c r="AH19" s="26">
        <f t="shared" ca="1" si="1"/>
        <v>25.312125772735556</v>
      </c>
      <c r="AI19" s="26">
        <f t="shared" ca="1" si="1"/>
        <v>25.818368288190275</v>
      </c>
      <c r="AJ19" s="26">
        <f t="shared" ca="1" si="1"/>
        <v>26.334735653954077</v>
      </c>
      <c r="AK19" s="26">
        <f t="shared" ca="1" si="1"/>
        <v>0</v>
      </c>
      <c r="AL19" s="26">
        <f t="shared" ca="1" si="1"/>
        <v>0</v>
      </c>
      <c r="AM19" s="26">
        <f t="shared" ca="1" si="1"/>
        <v>0</v>
      </c>
      <c r="AN19" s="26">
        <f t="shared" ca="1" si="1"/>
        <v>0</v>
      </c>
      <c r="AO19" s="26">
        <f t="shared" ca="1" si="1"/>
        <v>0</v>
      </c>
      <c r="AP19" s="26">
        <f t="shared" ca="1" si="1"/>
        <v>0</v>
      </c>
      <c r="AQ19" s="26">
        <f t="shared" ca="1" si="1"/>
        <v>0</v>
      </c>
    </row>
    <row r="20" spans="1:43" ht="15" customHeight="1" x14ac:dyDescent="0.3">
      <c r="A20" s="3" t="s">
        <v>145</v>
      </c>
      <c r="D20" s="26">
        <f>D12*Assumptions!$B$55</f>
        <v>0</v>
      </c>
      <c r="E20" s="26">
        <f>E12*Assumptions!$B$55</f>
        <v>0</v>
      </c>
      <c r="F20" s="26">
        <f>F12*Assumptions!$B$55</f>
        <v>0</v>
      </c>
      <c r="G20" s="26">
        <f>G12*Assumptions!$B$55</f>
        <v>0.39025799999999999</v>
      </c>
      <c r="H20" s="26">
        <f>H12*Assumptions!$B$55</f>
        <v>0.39806315999999997</v>
      </c>
      <c r="I20" s="26">
        <f>I12*Assumptions!$B$55</f>
        <v>0.40602442319999998</v>
      </c>
      <c r="J20" s="26">
        <f>J12*Assumptions!$B$55</f>
        <v>0.41414491166399992</v>
      </c>
      <c r="K20" s="26">
        <f>K12*Assumptions!$B$55</f>
        <v>0.42242780989727996</v>
      </c>
      <c r="L20" s="26">
        <f>L12*Assumptions!$B$55</f>
        <v>0.43087636609522556</v>
      </c>
      <c r="M20" s="26">
        <f>M12*Assumptions!$B$55</f>
        <v>0.43949389341713019</v>
      </c>
      <c r="N20" s="26">
        <f>N12*Assumptions!$B$55</f>
        <v>0.44828377128547264</v>
      </c>
      <c r="O20" s="26">
        <f>O12*Assumptions!$B$55</f>
        <v>0.45724944671118212</v>
      </c>
      <c r="P20" s="26">
        <f>P12*Assumptions!$B$55</f>
        <v>0.46639443564540572</v>
      </c>
      <c r="Q20" s="26">
        <f>Q12*Assumptions!$B$55</f>
        <v>0.47572232435831391</v>
      </c>
      <c r="R20" s="26">
        <f>R12*Assumptions!$B$55</f>
        <v>0.48523677084548011</v>
      </c>
      <c r="S20" s="26">
        <f>S12*Assumptions!$B$55</f>
        <v>0.4949415062623897</v>
      </c>
      <c r="T20" s="26">
        <f>T12*Assumptions!$B$55</f>
        <v>0.50484033638763748</v>
      </c>
      <c r="U20" s="26">
        <f>U12*Assumptions!$B$55</f>
        <v>0.51493714311539029</v>
      </c>
      <c r="V20" s="26">
        <f>V12*Assumptions!$B$55</f>
        <v>0.52523588597769799</v>
      </c>
      <c r="W20" s="26">
        <f>W12*Assumptions!$B$55</f>
        <v>0.53574060369725207</v>
      </c>
      <c r="X20" s="26">
        <f>X12*Assumptions!$B$55</f>
        <v>0.54645541577119716</v>
      </c>
      <c r="Y20" s="26">
        <f>Y12*Assumptions!$B$55</f>
        <v>0.55738452408662098</v>
      </c>
      <c r="Z20" s="26">
        <f>Z12*Assumptions!$B$55</f>
        <v>0.56853221456835346</v>
      </c>
      <c r="AA20" s="26">
        <f>AA12*Assumptions!$B$55</f>
        <v>0.57990285885972048</v>
      </c>
      <c r="AB20" s="26">
        <f>AB12*Assumptions!$B$55</f>
        <v>0.5915009160369149</v>
      </c>
      <c r="AC20" s="26">
        <f>AC12*Assumptions!$B$55</f>
        <v>0.60333093435765317</v>
      </c>
      <c r="AD20" s="26">
        <f>AD12*Assumptions!$B$55</f>
        <v>0.61539755304480614</v>
      </c>
      <c r="AE20" s="26">
        <f>AE12*Assumptions!$B$55</f>
        <v>0.62770550410570236</v>
      </c>
      <c r="AF20" s="26">
        <f>AF12*Assumptions!$B$55</f>
        <v>0.64025961418781641</v>
      </c>
      <c r="AG20" s="26">
        <f>AG12*Assumptions!$B$55</f>
        <v>0.65306480647157272</v>
      </c>
      <c r="AH20" s="26">
        <f>AH12*Assumptions!$B$55</f>
        <v>0.66612610260100413</v>
      </c>
      <c r="AI20" s="26">
        <f>AI12*Assumptions!$B$55</f>
        <v>0.67944862465302436</v>
      </c>
      <c r="AJ20" s="26">
        <f>AJ12*Assumptions!$B$55</f>
        <v>0.69303759714608471</v>
      </c>
      <c r="AK20" s="26">
        <f>AK12*Assumptions!$B$55</f>
        <v>0</v>
      </c>
      <c r="AL20" s="26">
        <f>AL12*Assumptions!$B$55</f>
        <v>0</v>
      </c>
      <c r="AM20" s="26">
        <f>AM12*Assumptions!$B$55</f>
        <v>0</v>
      </c>
      <c r="AN20" s="26">
        <f>AN12*Assumptions!$B$55</f>
        <v>0</v>
      </c>
      <c r="AO20" s="26">
        <f>AO12*Assumptions!$B$55</f>
        <v>0</v>
      </c>
      <c r="AP20" s="26">
        <f>AP12*Assumptions!$B$55</f>
        <v>0</v>
      </c>
      <c r="AQ20" s="26">
        <f>AQ12*Assumptions!$B$55</f>
        <v>0</v>
      </c>
    </row>
    <row r="21" spans="1:43" ht="15" customHeight="1" x14ac:dyDescent="0.3">
      <c r="A21" s="6" t="s">
        <v>146</v>
      </c>
      <c r="D21" s="12">
        <f t="shared" ref="D21:AQ21" si="2">D14-D18-D20</f>
        <v>0</v>
      </c>
      <c r="E21" s="12">
        <f t="shared" si="2"/>
        <v>0</v>
      </c>
      <c r="F21" s="12">
        <f t="shared" si="2"/>
        <v>0</v>
      </c>
      <c r="G21" s="12">
        <f t="shared" si="2"/>
        <v>18.6218109</v>
      </c>
      <c r="H21" s="12">
        <f t="shared" si="2"/>
        <v>18.994247118000001</v>
      </c>
      <c r="I21" s="12">
        <f t="shared" si="2"/>
        <v>19.374132060359997</v>
      </c>
      <c r="J21" s="12">
        <f t="shared" si="2"/>
        <v>19.761614701567193</v>
      </c>
      <c r="K21" s="12">
        <f t="shared" si="2"/>
        <v>20.156846995598542</v>
      </c>
      <c r="L21" s="12">
        <f t="shared" ca="1" si="2"/>
        <v>20.559983935510509</v>
      </c>
      <c r="M21" s="12">
        <f t="shared" ca="1" si="2"/>
        <v>20.971183614220731</v>
      </c>
      <c r="N21" s="12">
        <f t="shared" ca="1" si="2"/>
        <v>21.390607286505137</v>
      </c>
      <c r="O21" s="12">
        <f t="shared" ca="1" si="2"/>
        <v>21.818419432235245</v>
      </c>
      <c r="P21" s="12">
        <f t="shared" ca="1" si="2"/>
        <v>22.254787820879944</v>
      </c>
      <c r="Q21" s="12">
        <f t="shared" ca="1" si="2"/>
        <v>22.699883577297545</v>
      </c>
      <c r="R21" s="12">
        <f t="shared" ca="1" si="2"/>
        <v>23.153881248843494</v>
      </c>
      <c r="S21" s="12">
        <f t="shared" ca="1" si="2"/>
        <v>23.616958873820362</v>
      </c>
      <c r="T21" s="12">
        <f t="shared" ca="1" si="2"/>
        <v>24.089298051296769</v>
      </c>
      <c r="U21" s="12">
        <f t="shared" ca="1" si="2"/>
        <v>24.571084012322707</v>
      </c>
      <c r="V21" s="12">
        <f t="shared" ca="1" si="2"/>
        <v>25.062505692569161</v>
      </c>
      <c r="W21" s="12">
        <f t="shared" ca="1" si="2"/>
        <v>25.563755806420545</v>
      </c>
      <c r="X21" s="12">
        <f t="shared" ca="1" si="2"/>
        <v>22.969896045362724</v>
      </c>
      <c r="Y21" s="12">
        <f t="shared" ca="1" si="2"/>
        <v>23.345170006680888</v>
      </c>
      <c r="Z21" s="12">
        <f t="shared" ca="1" si="2"/>
        <v>23.75762340681451</v>
      </c>
      <c r="AA21" s="12">
        <f t="shared" ca="1" si="2"/>
        <v>21.455825874950801</v>
      </c>
      <c r="AB21" s="12">
        <f t="shared" ca="1" si="2"/>
        <v>21.884942392449815</v>
      </c>
      <c r="AC21" s="12">
        <f t="shared" ca="1" si="2"/>
        <v>22.322641240298807</v>
      </c>
      <c r="AD21" s="12">
        <f t="shared" ca="1" si="2"/>
        <v>22.769094065104781</v>
      </c>
      <c r="AE21" s="12">
        <f t="shared" ca="1" si="2"/>
        <v>23.22447594640688</v>
      </c>
      <c r="AF21" s="12">
        <f t="shared" ca="1" si="2"/>
        <v>23.688965465335016</v>
      </c>
      <c r="AG21" s="12">
        <f t="shared" ca="1" si="2"/>
        <v>24.16274477464172</v>
      </c>
      <c r="AH21" s="12">
        <f t="shared" ca="1" si="2"/>
        <v>24.64599967013455</v>
      </c>
      <c r="AI21" s="12">
        <f t="shared" ca="1" si="2"/>
        <v>25.138919663537251</v>
      </c>
      <c r="AJ21" s="12">
        <f t="shared" ca="1" si="2"/>
        <v>25.641698056807993</v>
      </c>
      <c r="AK21" s="12">
        <f t="shared" ca="1" si="2"/>
        <v>0</v>
      </c>
      <c r="AL21" s="12">
        <f t="shared" ca="1" si="2"/>
        <v>0</v>
      </c>
      <c r="AM21" s="12">
        <f t="shared" ca="1" si="2"/>
        <v>0</v>
      </c>
      <c r="AN21" s="12">
        <f t="shared" ca="1" si="2"/>
        <v>0</v>
      </c>
      <c r="AO21" s="12">
        <f t="shared" ca="1" si="2"/>
        <v>0</v>
      </c>
      <c r="AP21" s="12">
        <f t="shared" ca="1" si="2"/>
        <v>0</v>
      </c>
      <c r="AQ21" s="12">
        <f t="shared" ca="1" si="2"/>
        <v>0</v>
      </c>
    </row>
    <row r="23" spans="1:43" ht="18" customHeight="1" x14ac:dyDescent="0.3">
      <c r="A23" s="51" t="s">
        <v>147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</row>
    <row r="24" spans="1:43" ht="15" customHeight="1" x14ac:dyDescent="0.3">
      <c r="A24" s="3" t="s">
        <v>134</v>
      </c>
      <c r="D24" s="27">
        <f>Tax!D35</f>
        <v>0</v>
      </c>
      <c r="E24" s="27">
        <f>Tax!E35</f>
        <v>0</v>
      </c>
      <c r="F24" s="27">
        <f>Tax!F35</f>
        <v>0</v>
      </c>
      <c r="G24" s="27">
        <f>Tax!G35</f>
        <v>0</v>
      </c>
      <c r="H24" s="27">
        <f>Tax!H35</f>
        <v>0</v>
      </c>
      <c r="I24" s="27">
        <f>Tax!I35</f>
        <v>0</v>
      </c>
      <c r="J24" s="27">
        <f>Tax!J35</f>
        <v>0</v>
      </c>
      <c r="K24" s="27">
        <f>Tax!K35</f>
        <v>0</v>
      </c>
      <c r="L24" s="27">
        <f>Tax!L35</f>
        <v>0</v>
      </c>
      <c r="M24" s="27">
        <f>Tax!M35</f>
        <v>0</v>
      </c>
      <c r="N24" s="27">
        <f>Tax!N35</f>
        <v>0</v>
      </c>
      <c r="O24" s="27">
        <f>Tax!O35</f>
        <v>0</v>
      </c>
      <c r="P24" s="27">
        <f>Tax!P35</f>
        <v>2.2389070182144581</v>
      </c>
      <c r="Q24" s="27">
        <f>Tax!Q35</f>
        <v>2.3761332983642891</v>
      </c>
      <c r="R24" s="27">
        <f>Tax!R35</f>
        <v>2.4781059643315739</v>
      </c>
      <c r="S24" s="27">
        <f>Tax!S35</f>
        <v>2.5821180836182052</v>
      </c>
      <c r="T24" s="27">
        <f>Tax!T35</f>
        <v>2.6882104452905695</v>
      </c>
      <c r="U24" s="27">
        <f>Tax!U35</f>
        <v>2.7964246541963811</v>
      </c>
      <c r="V24" s="27">
        <f>Tax!V35</f>
        <v>2.9068031472803089</v>
      </c>
      <c r="W24" s="27">
        <f>Tax!W35</f>
        <v>3.0193892102259157</v>
      </c>
      <c r="X24" s="27">
        <f>Tax!X35</f>
        <v>3.1342269944304335</v>
      </c>
      <c r="Y24" s="27">
        <f>Tax!Y35</f>
        <v>3.2513615343190416</v>
      </c>
      <c r="Z24" s="27">
        <f>Tax!Z35</f>
        <v>3.370838765005423</v>
      </c>
      <c r="AA24" s="27">
        <f>Tax!AA35</f>
        <v>6.2152055403055311</v>
      </c>
      <c r="AB24" s="27">
        <f>Tax!AB35</f>
        <v>6.3395096511116424</v>
      </c>
      <c r="AC24" s="27">
        <f>Tax!AC35</f>
        <v>6.4662998441338742</v>
      </c>
      <c r="AD24" s="27">
        <f>Tax!AD35</f>
        <v>6.5956258410165516</v>
      </c>
      <c r="AE24" s="27">
        <f>Tax!AE35</f>
        <v>6.7275383578368828</v>
      </c>
      <c r="AF24" s="27">
        <f>Tax!AF35</f>
        <v>6.8620891249936191</v>
      </c>
      <c r="AG24" s="27">
        <f>Tax!AG35</f>
        <v>6.9993309074934933</v>
      </c>
      <c r="AH24" s="27">
        <f>Tax!AH35</f>
        <v>7.1393175256433619</v>
      </c>
      <c r="AI24" s="27">
        <f>Tax!AI35</f>
        <v>7.2821038761562313</v>
      </c>
      <c r="AJ24" s="27">
        <f>Tax!AJ35</f>
        <v>7.4277459536793549</v>
      </c>
      <c r="AK24" s="27">
        <f>Tax!AK35</f>
        <v>0</v>
      </c>
      <c r="AL24" s="27">
        <f>Tax!AL35</f>
        <v>0</v>
      </c>
      <c r="AM24" s="27">
        <f>Tax!AM35</f>
        <v>0</v>
      </c>
      <c r="AN24" s="27">
        <f>Tax!AN35</f>
        <v>0</v>
      </c>
      <c r="AO24" s="27">
        <f>Tax!AO35</f>
        <v>0</v>
      </c>
      <c r="AP24" s="27">
        <f>Tax!AP35</f>
        <v>0</v>
      </c>
      <c r="AQ24" s="27">
        <f>Tax!AQ35</f>
        <v>0</v>
      </c>
    </row>
    <row r="25" spans="1:43" ht="15" customHeight="1" x14ac:dyDescent="0.3">
      <c r="A25" s="3" t="s">
        <v>148</v>
      </c>
      <c r="D25" s="26">
        <f t="shared" ref="D25:AQ25" si="3">D14-D24-D20</f>
        <v>0</v>
      </c>
      <c r="E25" s="26">
        <f t="shared" si="3"/>
        <v>0</v>
      </c>
      <c r="F25" s="26">
        <f t="shared" si="3"/>
        <v>0</v>
      </c>
      <c r="G25" s="26">
        <f t="shared" si="3"/>
        <v>18.6218109</v>
      </c>
      <c r="H25" s="26">
        <f t="shared" si="3"/>
        <v>18.994247118000001</v>
      </c>
      <c r="I25" s="26">
        <f t="shared" si="3"/>
        <v>19.374132060359997</v>
      </c>
      <c r="J25" s="26">
        <f t="shared" si="3"/>
        <v>19.761614701567193</v>
      </c>
      <c r="K25" s="26">
        <f t="shared" si="3"/>
        <v>20.156846995598542</v>
      </c>
      <c r="L25" s="26">
        <f t="shared" si="3"/>
        <v>20.559983935510509</v>
      </c>
      <c r="M25" s="26">
        <f t="shared" si="3"/>
        <v>20.971183614220731</v>
      </c>
      <c r="N25" s="26">
        <f t="shared" si="3"/>
        <v>21.390607286505137</v>
      </c>
      <c r="O25" s="26">
        <f t="shared" si="3"/>
        <v>21.818419432235245</v>
      </c>
      <c r="P25" s="26">
        <f t="shared" si="3"/>
        <v>20.015880802665485</v>
      </c>
      <c r="Q25" s="26">
        <f t="shared" si="3"/>
        <v>20.323750278933254</v>
      </c>
      <c r="R25" s="26">
        <f t="shared" si="3"/>
        <v>20.675775284511918</v>
      </c>
      <c r="S25" s="26">
        <f t="shared" si="3"/>
        <v>21.034840790202157</v>
      </c>
      <c r="T25" s="26">
        <f t="shared" si="3"/>
        <v>21.4010876060062</v>
      </c>
      <c r="U25" s="26">
        <f t="shared" si="3"/>
        <v>21.774659358126325</v>
      </c>
      <c r="V25" s="26">
        <f t="shared" si="3"/>
        <v>22.15570254528885</v>
      </c>
      <c r="W25" s="26">
        <f t="shared" si="3"/>
        <v>22.544366596194628</v>
      </c>
      <c r="X25" s="26">
        <f t="shared" si="3"/>
        <v>22.94080392811852</v>
      </c>
      <c r="Y25" s="26">
        <f t="shared" si="3"/>
        <v>23.345170006680888</v>
      </c>
      <c r="Z25" s="26">
        <f t="shared" si="3"/>
        <v>23.75762340681451</v>
      </c>
      <c r="AA25" s="26">
        <f t="shared" si="3"/>
        <v>21.455825874950801</v>
      </c>
      <c r="AB25" s="26">
        <f t="shared" si="3"/>
        <v>21.884942392449815</v>
      </c>
      <c r="AC25" s="26">
        <f t="shared" si="3"/>
        <v>22.322641240298807</v>
      </c>
      <c r="AD25" s="26">
        <f t="shared" si="3"/>
        <v>22.769094065104781</v>
      </c>
      <c r="AE25" s="26">
        <f t="shared" si="3"/>
        <v>23.22447594640688</v>
      </c>
      <c r="AF25" s="26">
        <f t="shared" si="3"/>
        <v>23.688965465335016</v>
      </c>
      <c r="AG25" s="26">
        <f t="shared" si="3"/>
        <v>24.16274477464172</v>
      </c>
      <c r="AH25" s="26">
        <f t="shared" si="3"/>
        <v>24.64599967013455</v>
      </c>
      <c r="AI25" s="26">
        <f t="shared" si="3"/>
        <v>25.138919663537251</v>
      </c>
      <c r="AJ25" s="26">
        <f t="shared" si="3"/>
        <v>25.641698056807993</v>
      </c>
      <c r="AK25" s="26">
        <f t="shared" si="3"/>
        <v>0</v>
      </c>
      <c r="AL25" s="26">
        <f t="shared" si="3"/>
        <v>0</v>
      </c>
      <c r="AM25" s="26">
        <f t="shared" si="3"/>
        <v>0</v>
      </c>
      <c r="AN25" s="26">
        <f t="shared" si="3"/>
        <v>0</v>
      </c>
      <c r="AO25" s="26">
        <f t="shared" si="3"/>
        <v>0</v>
      </c>
      <c r="AP25" s="26">
        <f t="shared" si="3"/>
        <v>0</v>
      </c>
      <c r="AQ25" s="26">
        <f t="shared" si="3"/>
        <v>0</v>
      </c>
    </row>
    <row r="26" spans="1:43" ht="15" customHeight="1" x14ac:dyDescent="0.3">
      <c r="A26" s="6" t="s">
        <v>149</v>
      </c>
      <c r="D26" s="12">
        <f t="shared" ref="D26:AQ26" si="4">-D9+D25</f>
        <v>-92.890025000000009</v>
      </c>
      <c r="E26" s="12">
        <f t="shared" si="4"/>
        <v>-127.3350375</v>
      </c>
      <c r="F26" s="12">
        <f t="shared" si="4"/>
        <v>-70.741687499999998</v>
      </c>
      <c r="G26" s="12">
        <f t="shared" si="4"/>
        <v>18.6218109</v>
      </c>
      <c r="H26" s="12">
        <f t="shared" si="4"/>
        <v>18.994247118000001</v>
      </c>
      <c r="I26" s="12">
        <f t="shared" si="4"/>
        <v>19.374132060359997</v>
      </c>
      <c r="J26" s="12">
        <f t="shared" si="4"/>
        <v>19.761614701567193</v>
      </c>
      <c r="K26" s="12">
        <f t="shared" si="4"/>
        <v>20.156846995598542</v>
      </c>
      <c r="L26" s="12">
        <f t="shared" si="4"/>
        <v>20.559983935510509</v>
      </c>
      <c r="M26" s="12">
        <f t="shared" si="4"/>
        <v>20.971183614220731</v>
      </c>
      <c r="N26" s="12">
        <f t="shared" si="4"/>
        <v>21.390607286505137</v>
      </c>
      <c r="O26" s="12">
        <f t="shared" si="4"/>
        <v>21.818419432235245</v>
      </c>
      <c r="P26" s="12">
        <f t="shared" si="4"/>
        <v>20.015880802665485</v>
      </c>
      <c r="Q26" s="12">
        <f t="shared" si="4"/>
        <v>20.323750278933254</v>
      </c>
      <c r="R26" s="12">
        <f t="shared" si="4"/>
        <v>20.675775284511918</v>
      </c>
      <c r="S26" s="12">
        <f t="shared" si="4"/>
        <v>21.034840790202157</v>
      </c>
      <c r="T26" s="12">
        <f t="shared" si="4"/>
        <v>21.4010876060062</v>
      </c>
      <c r="U26" s="12">
        <f t="shared" si="4"/>
        <v>21.774659358126325</v>
      </c>
      <c r="V26" s="12">
        <f t="shared" si="4"/>
        <v>22.15570254528885</v>
      </c>
      <c r="W26" s="12">
        <f t="shared" si="4"/>
        <v>22.544366596194628</v>
      </c>
      <c r="X26" s="12">
        <f t="shared" si="4"/>
        <v>22.94080392811852</v>
      </c>
      <c r="Y26" s="12">
        <f t="shared" si="4"/>
        <v>23.345170006680888</v>
      </c>
      <c r="Z26" s="12">
        <f t="shared" si="4"/>
        <v>23.75762340681451</v>
      </c>
      <c r="AA26" s="12">
        <f t="shared" si="4"/>
        <v>21.455825874950801</v>
      </c>
      <c r="AB26" s="12">
        <f t="shared" si="4"/>
        <v>21.884942392449815</v>
      </c>
      <c r="AC26" s="12">
        <f t="shared" si="4"/>
        <v>22.322641240298807</v>
      </c>
      <c r="AD26" s="12">
        <f t="shared" si="4"/>
        <v>22.769094065104781</v>
      </c>
      <c r="AE26" s="12">
        <f t="shared" si="4"/>
        <v>23.22447594640688</v>
      </c>
      <c r="AF26" s="12">
        <f t="shared" si="4"/>
        <v>23.688965465335016</v>
      </c>
      <c r="AG26" s="12">
        <f t="shared" si="4"/>
        <v>24.16274477464172</v>
      </c>
      <c r="AH26" s="12">
        <f t="shared" si="4"/>
        <v>24.64599967013455</v>
      </c>
      <c r="AI26" s="12">
        <f t="shared" si="4"/>
        <v>25.138919663537251</v>
      </c>
      <c r="AJ26" s="12">
        <f t="shared" si="4"/>
        <v>25.641698056807993</v>
      </c>
      <c r="AK26" s="12">
        <f t="shared" si="4"/>
        <v>0</v>
      </c>
      <c r="AL26" s="12">
        <f t="shared" si="4"/>
        <v>0</v>
      </c>
      <c r="AM26" s="12">
        <f t="shared" si="4"/>
        <v>0</v>
      </c>
      <c r="AN26" s="12">
        <f t="shared" si="4"/>
        <v>0</v>
      </c>
      <c r="AO26" s="12">
        <f t="shared" si="4"/>
        <v>0</v>
      </c>
      <c r="AP26" s="12">
        <f t="shared" si="4"/>
        <v>0</v>
      </c>
      <c r="AQ26" s="12">
        <f t="shared" si="4"/>
        <v>0</v>
      </c>
    </row>
  </sheetData>
  <mergeCells count="3">
    <mergeCell ref="A8:AQ8"/>
    <mergeCell ref="A11:AQ11"/>
    <mergeCell ref="A23:AQ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Q32"/>
  <sheetViews>
    <sheetView showGridLines="0" zoomScaleNormal="100" workbookViewId="0">
      <pane xSplit="3" ySplit="3" topLeftCell="G16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44" customWidth="1"/>
    <col min="2" max="3" width="14" customWidth="1"/>
    <col min="4" max="43" width="10.5546875" customWidth="1"/>
  </cols>
  <sheetData>
    <row r="1" spans="1:43" ht="19.5" customHeight="1" x14ac:dyDescent="0.4">
      <c r="A1" s="1" t="s">
        <v>150</v>
      </c>
    </row>
    <row r="2" spans="1:43" ht="15" customHeight="1" x14ac:dyDescent="0.3">
      <c r="A2" s="2" t="s">
        <v>151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7" spans="1:43" ht="15" customHeight="1" x14ac:dyDescent="0.3">
      <c r="A7" s="6" t="s">
        <v>64</v>
      </c>
      <c r="D7" s="22" t="str">
        <f>Assumptions!D70</f>
        <v/>
      </c>
      <c r="E7" s="22" t="str">
        <f>Assumptions!E70</f>
        <v/>
      </c>
      <c r="F7" s="22" t="str">
        <f>Assumptions!F70</f>
        <v/>
      </c>
      <c r="G7" s="22">
        <f>Assumptions!G70</f>
        <v>1</v>
      </c>
      <c r="H7" s="22">
        <f>Assumptions!H70</f>
        <v>2</v>
      </c>
      <c r="I7" s="22">
        <f>Assumptions!I70</f>
        <v>3</v>
      </c>
      <c r="J7" s="22">
        <f>Assumptions!J70</f>
        <v>4</v>
      </c>
      <c r="K7" s="22">
        <f>Assumptions!K70</f>
        <v>5</v>
      </c>
      <c r="L7" s="22">
        <f>Assumptions!L70</f>
        <v>6</v>
      </c>
      <c r="M7" s="22">
        <f>Assumptions!M70</f>
        <v>7</v>
      </c>
      <c r="N7" s="22">
        <f>Assumptions!N70</f>
        <v>8</v>
      </c>
      <c r="O7" s="22">
        <f>Assumptions!O70</f>
        <v>9</v>
      </c>
      <c r="P7" s="22">
        <f>Assumptions!P70</f>
        <v>10</v>
      </c>
      <c r="Q7" s="22">
        <f>Assumptions!Q70</f>
        <v>11</v>
      </c>
      <c r="R7" s="22">
        <f>Assumptions!R70</f>
        <v>12</v>
      </c>
      <c r="S7" s="22">
        <f>Assumptions!S70</f>
        <v>13</v>
      </c>
      <c r="T7" s="22">
        <f>Assumptions!T70</f>
        <v>14</v>
      </c>
      <c r="U7" s="22">
        <f>Assumptions!U70</f>
        <v>15</v>
      </c>
      <c r="V7" s="22" t="str">
        <f>Assumptions!V70</f>
        <v/>
      </c>
      <c r="W7" s="22" t="str">
        <f>Assumptions!W70</f>
        <v/>
      </c>
      <c r="X7" s="22" t="str">
        <f>Assumptions!X70</f>
        <v/>
      </c>
      <c r="Y7" s="22" t="str">
        <f>Assumptions!Y70</f>
        <v/>
      </c>
      <c r="Z7" s="22" t="str">
        <f>Assumptions!Z70</f>
        <v/>
      </c>
      <c r="AA7" s="22" t="str">
        <f>Assumptions!AA70</f>
        <v/>
      </c>
      <c r="AB7" s="22" t="str">
        <f>Assumptions!AB70</f>
        <v/>
      </c>
      <c r="AC7" s="22" t="str">
        <f>Assumptions!AC70</f>
        <v/>
      </c>
      <c r="AD7" s="22" t="str">
        <f>Assumptions!AD70</f>
        <v/>
      </c>
      <c r="AE7" s="22" t="str">
        <f>Assumptions!AE70</f>
        <v/>
      </c>
      <c r="AF7" s="22" t="str">
        <f>Assumptions!AF70</f>
        <v/>
      </c>
      <c r="AG7" s="22" t="str">
        <f>Assumptions!AG70</f>
        <v/>
      </c>
      <c r="AH7" s="22" t="str">
        <f>Assumptions!AH70</f>
        <v/>
      </c>
      <c r="AI7" s="22" t="str">
        <f>Assumptions!AI70</f>
        <v/>
      </c>
      <c r="AJ7" s="22" t="str">
        <f>Assumptions!AJ70</f>
        <v/>
      </c>
      <c r="AK7" s="22" t="str">
        <f>Assumptions!AK70</f>
        <v/>
      </c>
      <c r="AL7" s="22" t="str">
        <f>Assumptions!AL70</f>
        <v/>
      </c>
      <c r="AM7" s="22" t="str">
        <f>Assumptions!AM70</f>
        <v/>
      </c>
      <c r="AN7" s="22" t="str">
        <f>Assumptions!AN70</f>
        <v/>
      </c>
      <c r="AO7" s="22" t="str">
        <f>Assumptions!AO70</f>
        <v/>
      </c>
      <c r="AP7" s="22" t="str">
        <f>Assumptions!AP70</f>
        <v/>
      </c>
      <c r="AQ7" s="22" t="str">
        <f>Assumptions!AQ70</f>
        <v/>
      </c>
    </row>
    <row r="9" spans="1:43" ht="18" customHeight="1" x14ac:dyDescent="0.3">
      <c r="A9" s="51" t="s">
        <v>152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</row>
    <row r="10" spans="1:43" ht="15" customHeight="1" x14ac:dyDescent="0.3">
      <c r="A10" s="3" t="s">
        <v>153</v>
      </c>
      <c r="D10" s="27">
        <f>Project_CF!D21</f>
        <v>0</v>
      </c>
      <c r="E10" s="27">
        <f>Project_CF!E21</f>
        <v>0</v>
      </c>
      <c r="F10" s="27">
        <f>Project_CF!F21</f>
        <v>0</v>
      </c>
      <c r="G10" s="27">
        <f>Project_CF!G21</f>
        <v>18.6218109</v>
      </c>
      <c r="H10" s="27">
        <f>Project_CF!H21</f>
        <v>18.994247118000001</v>
      </c>
      <c r="I10" s="27">
        <f>Project_CF!I21</f>
        <v>19.374132060359997</v>
      </c>
      <c r="J10" s="27">
        <f>Project_CF!J21</f>
        <v>19.761614701567193</v>
      </c>
      <c r="K10" s="27">
        <f>Project_CF!K21</f>
        <v>20.156846995598542</v>
      </c>
      <c r="L10" s="27">
        <f ca="1">Project_CF!L21</f>
        <v>20.559983935510509</v>
      </c>
      <c r="M10" s="27">
        <f ca="1">Project_CF!M21</f>
        <v>20.971183614220731</v>
      </c>
      <c r="N10" s="27">
        <f ca="1">Project_CF!N21</f>
        <v>21.390607286505137</v>
      </c>
      <c r="O10" s="27">
        <f ca="1">Project_CF!O21</f>
        <v>21.818419432235245</v>
      </c>
      <c r="P10" s="27">
        <f ca="1">Project_CF!P21</f>
        <v>22.254787820879944</v>
      </c>
      <c r="Q10" s="27">
        <f ca="1">Project_CF!Q21</f>
        <v>22.699883577297545</v>
      </c>
      <c r="R10" s="27">
        <f ca="1">Project_CF!R21</f>
        <v>23.153881248843494</v>
      </c>
      <c r="S10" s="27">
        <f ca="1">Project_CF!S21</f>
        <v>23.616958873820362</v>
      </c>
      <c r="T10" s="27">
        <f ca="1">Project_CF!T21</f>
        <v>24.089298051296769</v>
      </c>
      <c r="U10" s="27">
        <f ca="1">Project_CF!U21</f>
        <v>24.571084012322707</v>
      </c>
      <c r="V10" s="27">
        <f ca="1">Project_CF!V21</f>
        <v>25.062505692569161</v>
      </c>
      <c r="W10" s="27">
        <f ca="1">Project_CF!W21</f>
        <v>25.563755806420545</v>
      </c>
      <c r="X10" s="27">
        <f ca="1">Project_CF!X21</f>
        <v>22.96989604536272</v>
      </c>
      <c r="Y10" s="27">
        <f ca="1">Project_CF!Y21</f>
        <v>23.345170006680888</v>
      </c>
      <c r="Z10" s="27">
        <f ca="1">Project_CF!Z21</f>
        <v>23.75762340681451</v>
      </c>
      <c r="AA10" s="27">
        <f ca="1">Project_CF!AA21</f>
        <v>21.455825874950801</v>
      </c>
      <c r="AB10" s="27">
        <f ca="1">Project_CF!AB21</f>
        <v>21.884942392449815</v>
      </c>
      <c r="AC10" s="27">
        <f ca="1">Project_CF!AC21</f>
        <v>22.322641240298807</v>
      </c>
      <c r="AD10" s="27">
        <f ca="1">Project_CF!AD21</f>
        <v>22.769094065104781</v>
      </c>
      <c r="AE10" s="27">
        <f ca="1">Project_CF!AE21</f>
        <v>23.22447594640688</v>
      </c>
      <c r="AF10" s="27">
        <f ca="1">Project_CF!AF21</f>
        <v>23.688965465335016</v>
      </c>
      <c r="AG10" s="27">
        <f ca="1">Project_CF!AG21</f>
        <v>24.16274477464172</v>
      </c>
      <c r="AH10" s="27">
        <f ca="1">Project_CF!AH21</f>
        <v>24.64599967013455</v>
      </c>
      <c r="AI10" s="27">
        <f ca="1">Project_CF!AI21</f>
        <v>25.138919663537251</v>
      </c>
      <c r="AJ10" s="27">
        <f ca="1">Project_CF!AJ21</f>
        <v>25.641698056807993</v>
      </c>
      <c r="AK10" s="27">
        <f ca="1">Project_CF!AK21</f>
        <v>0</v>
      </c>
      <c r="AL10" s="27">
        <f ca="1">Project_CF!AL21</f>
        <v>0</v>
      </c>
      <c r="AM10" s="27">
        <f ca="1">Project_CF!AM21</f>
        <v>0</v>
      </c>
      <c r="AN10" s="27">
        <f ca="1">Project_CF!AN21</f>
        <v>0</v>
      </c>
      <c r="AO10" s="27">
        <f ca="1">Project_CF!AO21</f>
        <v>0</v>
      </c>
      <c r="AP10" s="27">
        <f ca="1">Project_CF!AP21</f>
        <v>0</v>
      </c>
      <c r="AQ10" s="27">
        <f ca="1">Project_CF!AQ21</f>
        <v>0</v>
      </c>
    </row>
    <row r="11" spans="1:43" ht="15" customHeight="1" x14ac:dyDescent="0.3">
      <c r="A11" s="3" t="s">
        <v>154</v>
      </c>
      <c r="D11" s="31">
        <f t="shared" ref="D11:AQ11" si="0">IF(D7&lt;&gt;"",1,0)</f>
        <v>0</v>
      </c>
      <c r="E11" s="31">
        <f t="shared" si="0"/>
        <v>0</v>
      </c>
      <c r="F11" s="31">
        <f t="shared" si="0"/>
        <v>0</v>
      </c>
      <c r="G11" s="31">
        <f t="shared" si="0"/>
        <v>1</v>
      </c>
      <c r="H11" s="31">
        <f t="shared" si="0"/>
        <v>1</v>
      </c>
      <c r="I11" s="31">
        <f t="shared" si="0"/>
        <v>1</v>
      </c>
      <c r="J11" s="31">
        <f t="shared" si="0"/>
        <v>1</v>
      </c>
      <c r="K11" s="31">
        <f t="shared" si="0"/>
        <v>1</v>
      </c>
      <c r="L11" s="31">
        <f t="shared" si="0"/>
        <v>1</v>
      </c>
      <c r="M11" s="31">
        <f t="shared" si="0"/>
        <v>1</v>
      </c>
      <c r="N11" s="31">
        <f t="shared" si="0"/>
        <v>1</v>
      </c>
      <c r="O11" s="31">
        <f t="shared" si="0"/>
        <v>1</v>
      </c>
      <c r="P11" s="31">
        <f t="shared" si="0"/>
        <v>1</v>
      </c>
      <c r="Q11" s="31">
        <f t="shared" si="0"/>
        <v>1</v>
      </c>
      <c r="R11" s="31">
        <f t="shared" si="0"/>
        <v>1</v>
      </c>
      <c r="S11" s="31">
        <f t="shared" si="0"/>
        <v>1</v>
      </c>
      <c r="T11" s="31">
        <f t="shared" si="0"/>
        <v>1</v>
      </c>
      <c r="U11" s="31">
        <f t="shared" si="0"/>
        <v>1</v>
      </c>
      <c r="V11" s="31">
        <f t="shared" si="0"/>
        <v>0</v>
      </c>
      <c r="W11" s="31">
        <f t="shared" si="0"/>
        <v>0</v>
      </c>
      <c r="X11" s="31">
        <f t="shared" si="0"/>
        <v>0</v>
      </c>
      <c r="Y11" s="31">
        <f t="shared" si="0"/>
        <v>0</v>
      </c>
      <c r="Z11" s="31">
        <f t="shared" si="0"/>
        <v>0</v>
      </c>
      <c r="AA11" s="31">
        <f t="shared" si="0"/>
        <v>0</v>
      </c>
      <c r="AB11" s="31">
        <f t="shared" si="0"/>
        <v>0</v>
      </c>
      <c r="AC11" s="31">
        <f t="shared" si="0"/>
        <v>0</v>
      </c>
      <c r="AD11" s="31">
        <f t="shared" si="0"/>
        <v>0</v>
      </c>
      <c r="AE11" s="31">
        <f t="shared" si="0"/>
        <v>0</v>
      </c>
      <c r="AF11" s="31">
        <f t="shared" si="0"/>
        <v>0</v>
      </c>
      <c r="AG11" s="31">
        <f t="shared" si="0"/>
        <v>0</v>
      </c>
      <c r="AH11" s="31">
        <f t="shared" si="0"/>
        <v>0</v>
      </c>
      <c r="AI11" s="31">
        <f t="shared" si="0"/>
        <v>0</v>
      </c>
      <c r="AJ11" s="31">
        <f t="shared" si="0"/>
        <v>0</v>
      </c>
      <c r="AK11" s="31">
        <f t="shared" si="0"/>
        <v>0</v>
      </c>
      <c r="AL11" s="31">
        <f t="shared" si="0"/>
        <v>0</v>
      </c>
      <c r="AM11" s="31">
        <f t="shared" si="0"/>
        <v>0</v>
      </c>
      <c r="AN11" s="31">
        <f t="shared" si="0"/>
        <v>0</v>
      </c>
      <c r="AO11" s="31">
        <f t="shared" si="0"/>
        <v>0</v>
      </c>
      <c r="AP11" s="31">
        <f t="shared" si="0"/>
        <v>0</v>
      </c>
      <c r="AQ11" s="31">
        <f t="shared" si="0"/>
        <v>0</v>
      </c>
    </row>
    <row r="12" spans="1:43" ht="15" customHeight="1" x14ac:dyDescent="0.3">
      <c r="A12" s="3" t="s">
        <v>155</v>
      </c>
      <c r="D12" s="26">
        <f t="shared" ref="D12:AQ12" si="1">IF(D11=1,D10/$C$16,0)</f>
        <v>0</v>
      </c>
      <c r="E12" s="26">
        <f t="shared" si="1"/>
        <v>0</v>
      </c>
      <c r="F12" s="26">
        <f t="shared" si="1"/>
        <v>0</v>
      </c>
      <c r="G12" s="26">
        <f t="shared" si="1"/>
        <v>14.324469923076922</v>
      </c>
      <c r="H12" s="26">
        <f t="shared" si="1"/>
        <v>14.610959321538461</v>
      </c>
      <c r="I12" s="26">
        <f t="shared" si="1"/>
        <v>14.903178507969228</v>
      </c>
      <c r="J12" s="26">
        <f t="shared" si="1"/>
        <v>15.20124207812861</v>
      </c>
      <c r="K12" s="26">
        <f t="shared" si="1"/>
        <v>15.505266919691186</v>
      </c>
      <c r="L12" s="26">
        <f t="shared" ca="1" si="1"/>
        <v>15.815372258085006</v>
      </c>
      <c r="M12" s="26">
        <f t="shared" ca="1" si="1"/>
        <v>16.131679703246714</v>
      </c>
      <c r="N12" s="26">
        <f t="shared" ca="1" si="1"/>
        <v>16.454313297311643</v>
      </c>
      <c r="O12" s="26">
        <f t="shared" ca="1" si="1"/>
        <v>16.783399563257881</v>
      </c>
      <c r="P12" s="26">
        <f t="shared" ca="1" si="1"/>
        <v>17.119067554523035</v>
      </c>
      <c r="Q12" s="26">
        <f t="shared" ca="1" si="1"/>
        <v>17.461448905613494</v>
      </c>
      <c r="R12" s="26">
        <f t="shared" ca="1" si="1"/>
        <v>17.810677883725763</v>
      </c>
      <c r="S12" s="26">
        <f t="shared" ca="1" si="1"/>
        <v>18.166891441400278</v>
      </c>
      <c r="T12" s="26">
        <f t="shared" ca="1" si="1"/>
        <v>18.530229270228283</v>
      </c>
      <c r="U12" s="26">
        <f t="shared" ca="1" si="1"/>
        <v>18.90083385563285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26">
        <f t="shared" si="1"/>
        <v>0</v>
      </c>
      <c r="AH12" s="26">
        <f t="shared" si="1"/>
        <v>0</v>
      </c>
      <c r="AI12" s="26">
        <f t="shared" si="1"/>
        <v>0</v>
      </c>
      <c r="AJ12" s="26">
        <f t="shared" si="1"/>
        <v>0</v>
      </c>
      <c r="AK12" s="26">
        <f t="shared" si="1"/>
        <v>0</v>
      </c>
      <c r="AL12" s="26">
        <f t="shared" si="1"/>
        <v>0</v>
      </c>
      <c r="AM12" s="26">
        <f t="shared" si="1"/>
        <v>0</v>
      </c>
      <c r="AN12" s="26">
        <f t="shared" si="1"/>
        <v>0</v>
      </c>
      <c r="AO12" s="26">
        <f t="shared" si="1"/>
        <v>0</v>
      </c>
      <c r="AP12" s="26">
        <f t="shared" si="1"/>
        <v>0</v>
      </c>
      <c r="AQ12" s="26">
        <f t="shared" si="1"/>
        <v>0</v>
      </c>
    </row>
    <row r="13" spans="1:43" ht="15" customHeight="1" x14ac:dyDescent="0.3">
      <c r="A13" s="3" t="s">
        <v>156</v>
      </c>
      <c r="D13" s="33">
        <f t="shared" ref="D13:AQ13" si="2">IF(D11=1,1/(1+$C$17)^D7,0)</f>
        <v>0</v>
      </c>
      <c r="E13" s="33">
        <f t="shared" si="2"/>
        <v>0</v>
      </c>
      <c r="F13" s="33">
        <f t="shared" si="2"/>
        <v>0</v>
      </c>
      <c r="G13" s="33">
        <f t="shared" si="2"/>
        <v>0.93896713615023475</v>
      </c>
      <c r="H13" s="33">
        <f t="shared" si="2"/>
        <v>0.88165928277017358</v>
      </c>
      <c r="I13" s="33">
        <f t="shared" si="2"/>
        <v>0.82784909180297994</v>
      </c>
      <c r="J13" s="33">
        <f t="shared" si="2"/>
        <v>0.77732309089481699</v>
      </c>
      <c r="K13" s="33">
        <f t="shared" si="2"/>
        <v>0.72988083652095492</v>
      </c>
      <c r="L13" s="33">
        <f t="shared" si="2"/>
        <v>0.68533411879901873</v>
      </c>
      <c r="M13" s="33">
        <f t="shared" si="2"/>
        <v>0.64350621483475945</v>
      </c>
      <c r="N13" s="33">
        <f t="shared" si="2"/>
        <v>0.60423118763827188</v>
      </c>
      <c r="O13" s="33">
        <f t="shared" si="2"/>
        <v>0.56735322782936326</v>
      </c>
      <c r="P13" s="33">
        <f t="shared" si="2"/>
        <v>0.53272603552052888</v>
      </c>
      <c r="Q13" s="33">
        <f t="shared" si="2"/>
        <v>0.50021223992537933</v>
      </c>
      <c r="R13" s="33">
        <f t="shared" si="2"/>
        <v>0.4696828543900276</v>
      </c>
      <c r="S13" s="33">
        <f t="shared" si="2"/>
        <v>0.44101676468547191</v>
      </c>
      <c r="T13" s="33">
        <f t="shared" si="2"/>
        <v>0.41410024853095956</v>
      </c>
      <c r="U13" s="33">
        <f t="shared" si="2"/>
        <v>0.38882652444221566</v>
      </c>
      <c r="V13" s="33">
        <f t="shared" si="2"/>
        <v>0</v>
      </c>
      <c r="W13" s="33">
        <f t="shared" si="2"/>
        <v>0</v>
      </c>
      <c r="X13" s="33">
        <f t="shared" si="2"/>
        <v>0</v>
      </c>
      <c r="Y13" s="33">
        <f t="shared" si="2"/>
        <v>0</v>
      </c>
      <c r="Z13" s="33">
        <f t="shared" si="2"/>
        <v>0</v>
      </c>
      <c r="AA13" s="33">
        <f t="shared" si="2"/>
        <v>0</v>
      </c>
      <c r="AB13" s="33">
        <f t="shared" si="2"/>
        <v>0</v>
      </c>
      <c r="AC13" s="33">
        <f t="shared" si="2"/>
        <v>0</v>
      </c>
      <c r="AD13" s="33">
        <f t="shared" si="2"/>
        <v>0</v>
      </c>
      <c r="AE13" s="33">
        <f t="shared" si="2"/>
        <v>0</v>
      </c>
      <c r="AF13" s="33">
        <f t="shared" si="2"/>
        <v>0</v>
      </c>
      <c r="AG13" s="33">
        <f t="shared" si="2"/>
        <v>0</v>
      </c>
      <c r="AH13" s="33">
        <f t="shared" si="2"/>
        <v>0</v>
      </c>
      <c r="AI13" s="33">
        <f t="shared" si="2"/>
        <v>0</v>
      </c>
      <c r="AJ13" s="33">
        <f t="shared" si="2"/>
        <v>0</v>
      </c>
      <c r="AK13" s="33">
        <f t="shared" si="2"/>
        <v>0</v>
      </c>
      <c r="AL13" s="33">
        <f t="shared" si="2"/>
        <v>0</v>
      </c>
      <c r="AM13" s="33">
        <f t="shared" si="2"/>
        <v>0</v>
      </c>
      <c r="AN13" s="33">
        <f t="shared" si="2"/>
        <v>0</v>
      </c>
      <c r="AO13" s="33">
        <f t="shared" si="2"/>
        <v>0</v>
      </c>
      <c r="AP13" s="33">
        <f t="shared" si="2"/>
        <v>0</v>
      </c>
      <c r="AQ13" s="33">
        <f t="shared" si="2"/>
        <v>0</v>
      </c>
    </row>
    <row r="14" spans="1:43" ht="15" customHeight="1" x14ac:dyDescent="0.3">
      <c r="A14" s="3" t="s">
        <v>157</v>
      </c>
      <c r="D14" s="26">
        <f t="shared" ref="D14:AQ14" si="3">D12*D13</f>
        <v>0</v>
      </c>
      <c r="E14" s="26">
        <f t="shared" si="3"/>
        <v>0</v>
      </c>
      <c r="F14" s="26">
        <f t="shared" si="3"/>
        <v>0</v>
      </c>
      <c r="G14" s="26">
        <f t="shared" si="3"/>
        <v>13.450206500541711</v>
      </c>
      <c r="H14" s="26">
        <f t="shared" si="3"/>
        <v>12.881887916011781</v>
      </c>
      <c r="I14" s="26">
        <f t="shared" si="3"/>
        <v>12.337582792800015</v>
      </c>
      <c r="J14" s="26">
        <f t="shared" si="3"/>
        <v>11.816276477611282</v>
      </c>
      <c r="K14" s="26">
        <f t="shared" si="3"/>
        <v>11.316997189824892</v>
      </c>
      <c r="L14" s="26">
        <f t="shared" ca="1" si="3"/>
        <v>10.838814209973135</v>
      </c>
      <c r="M14" s="26">
        <f t="shared" ca="1" si="3"/>
        <v>10.380836144763009</v>
      </c>
      <c r="N14" s="26">
        <f t="shared" ca="1" si="3"/>
        <v>9.9422092654068237</v>
      </c>
      <c r="O14" s="26">
        <f t="shared" ca="1" si="3"/>
        <v>9.5221159161642834</v>
      </c>
      <c r="P14" s="26">
        <f t="shared" ca="1" si="3"/>
        <v>9.1197729901291726</v>
      </c>
      <c r="Q14" s="26">
        <f t="shared" ca="1" si="3"/>
        <v>8.7344304694194896</v>
      </c>
      <c r="R14" s="26">
        <f t="shared" ca="1" si="3"/>
        <v>8.3653700270496518</v>
      </c>
      <c r="S14" s="26">
        <f t="shared" ca="1" si="3"/>
        <v>8.0119036878785401</v>
      </c>
      <c r="T14" s="26">
        <f t="shared" ca="1" si="3"/>
        <v>7.6733725461371929</v>
      </c>
      <c r="U14" s="26">
        <f t="shared" ca="1" si="3"/>
        <v>7.3491455371454837</v>
      </c>
      <c r="V14" s="26">
        <f t="shared" si="3"/>
        <v>0</v>
      </c>
      <c r="W14" s="26">
        <f t="shared" si="3"/>
        <v>0</v>
      </c>
      <c r="X14" s="26">
        <f t="shared" si="3"/>
        <v>0</v>
      </c>
      <c r="Y14" s="26">
        <f t="shared" si="3"/>
        <v>0</v>
      </c>
      <c r="Z14" s="26">
        <f t="shared" si="3"/>
        <v>0</v>
      </c>
      <c r="AA14" s="26">
        <f t="shared" si="3"/>
        <v>0</v>
      </c>
      <c r="AB14" s="26">
        <f t="shared" si="3"/>
        <v>0</v>
      </c>
      <c r="AC14" s="26">
        <f t="shared" si="3"/>
        <v>0</v>
      </c>
      <c r="AD14" s="26">
        <f t="shared" si="3"/>
        <v>0</v>
      </c>
      <c r="AE14" s="26">
        <f t="shared" si="3"/>
        <v>0</v>
      </c>
      <c r="AF14" s="26">
        <f t="shared" si="3"/>
        <v>0</v>
      </c>
      <c r="AG14" s="26">
        <f t="shared" si="3"/>
        <v>0</v>
      </c>
      <c r="AH14" s="26">
        <f t="shared" si="3"/>
        <v>0</v>
      </c>
      <c r="AI14" s="26">
        <f t="shared" si="3"/>
        <v>0</v>
      </c>
      <c r="AJ14" s="26">
        <f t="shared" si="3"/>
        <v>0</v>
      </c>
      <c r="AK14" s="26">
        <f t="shared" si="3"/>
        <v>0</v>
      </c>
      <c r="AL14" s="26">
        <f t="shared" si="3"/>
        <v>0</v>
      </c>
      <c r="AM14" s="26">
        <f t="shared" si="3"/>
        <v>0</v>
      </c>
      <c r="AN14" s="26">
        <f t="shared" si="3"/>
        <v>0</v>
      </c>
      <c r="AO14" s="26">
        <f t="shared" si="3"/>
        <v>0</v>
      </c>
      <c r="AP14" s="26">
        <f t="shared" si="3"/>
        <v>0</v>
      </c>
      <c r="AQ14" s="26">
        <f t="shared" si="3"/>
        <v>0</v>
      </c>
    </row>
    <row r="16" spans="1:43" ht="15" customHeight="1" x14ac:dyDescent="0.3">
      <c r="A16" s="6" t="s">
        <v>158</v>
      </c>
      <c r="C16" s="34">
        <f>Assumptions!$B$58</f>
        <v>1.3</v>
      </c>
    </row>
    <row r="17" spans="1:43" ht="15" customHeight="1" x14ac:dyDescent="0.3">
      <c r="A17" s="6" t="s">
        <v>159</v>
      </c>
      <c r="C17" s="35">
        <f>Assumptions!$B$59</f>
        <v>6.5000000000000002E-2</v>
      </c>
    </row>
    <row r="18" spans="1:43" ht="15" customHeight="1" x14ac:dyDescent="0.3">
      <c r="A18" s="6" t="s">
        <v>55</v>
      </c>
      <c r="C18" s="29">
        <f>Assumptions!$B$60</f>
        <v>15</v>
      </c>
    </row>
    <row r="19" spans="1:43" ht="15" customHeight="1" x14ac:dyDescent="0.3">
      <c r="A19" s="6" t="s">
        <v>160</v>
      </c>
      <c r="C19" s="36">
        <f ca="1">SUM(D14:AQ14)</f>
        <v>151.74092167085647</v>
      </c>
    </row>
    <row r="21" spans="1:43" ht="18" customHeight="1" x14ac:dyDescent="0.3">
      <c r="A21" s="51" t="s">
        <v>161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</row>
    <row r="22" spans="1:43" ht="15" customHeight="1" x14ac:dyDescent="0.3">
      <c r="A22" s="3" t="s">
        <v>162</v>
      </c>
      <c r="D22" s="26">
        <f>IF(D11=1,IF(D7=1,$C$19,0),0)</f>
        <v>0</v>
      </c>
      <c r="E22" s="26">
        <f t="shared" ref="E22:AQ22" si="4">IF(E11=1,IF(E7=1,$C$19,D26),0)</f>
        <v>0</v>
      </c>
      <c r="F22" s="26">
        <f t="shared" si="4"/>
        <v>0</v>
      </c>
      <c r="G22" s="26">
        <f t="shared" ca="1" si="4"/>
        <v>151.74092167085647</v>
      </c>
      <c r="H22" s="26">
        <f t="shared" ca="1" si="4"/>
        <v>147.27961165638521</v>
      </c>
      <c r="I22" s="26">
        <f t="shared" ca="1" si="4"/>
        <v>142.24182709251178</v>
      </c>
      <c r="J22" s="26">
        <f t="shared" ca="1" si="4"/>
        <v>136.58436734555582</v>
      </c>
      <c r="K22" s="26">
        <f t="shared" ca="1" si="4"/>
        <v>130.26110914488831</v>
      </c>
      <c r="L22" s="26">
        <f t="shared" ca="1" si="4"/>
        <v>123.22281431961466</v>
      </c>
      <c r="M22" s="26">
        <f t="shared" ca="1" si="4"/>
        <v>115.41692499230518</v>
      </c>
      <c r="N22" s="26">
        <f t="shared" ca="1" si="4"/>
        <v>106.78734541355817</v>
      </c>
      <c r="O22" s="26">
        <f t="shared" ca="1" si="4"/>
        <v>97.274209568127148</v>
      </c>
      <c r="P22" s="26">
        <f t="shared" ca="1" si="4"/>
        <v>86.813633626798136</v>
      </c>
      <c r="Q22" s="26">
        <f t="shared" ca="1" si="4"/>
        <v>75.337452258015773</v>
      </c>
      <c r="R22" s="26">
        <f t="shared" ca="1" si="4"/>
        <v>62.772937749173224</v>
      </c>
      <c r="S22" s="26">
        <f t="shared" ca="1" si="4"/>
        <v>49.042500819144173</v>
      </c>
      <c r="T22" s="26">
        <f t="shared" ca="1" si="4"/>
        <v>34.063371930988168</v>
      </c>
      <c r="U22" s="26">
        <f t="shared" ca="1" si="4"/>
        <v>17.747261836274042</v>
      </c>
      <c r="V22" s="26">
        <f t="shared" si="4"/>
        <v>0</v>
      </c>
      <c r="W22" s="26">
        <f t="shared" si="4"/>
        <v>0</v>
      </c>
      <c r="X22" s="26">
        <f t="shared" si="4"/>
        <v>0</v>
      </c>
      <c r="Y22" s="26">
        <f t="shared" si="4"/>
        <v>0</v>
      </c>
      <c r="Z22" s="26">
        <f t="shared" si="4"/>
        <v>0</v>
      </c>
      <c r="AA22" s="26">
        <f t="shared" si="4"/>
        <v>0</v>
      </c>
      <c r="AB22" s="26">
        <f t="shared" si="4"/>
        <v>0</v>
      </c>
      <c r="AC22" s="26">
        <f t="shared" si="4"/>
        <v>0</v>
      </c>
      <c r="AD22" s="26">
        <f t="shared" si="4"/>
        <v>0</v>
      </c>
      <c r="AE22" s="26">
        <f t="shared" si="4"/>
        <v>0</v>
      </c>
      <c r="AF22" s="26">
        <f t="shared" si="4"/>
        <v>0</v>
      </c>
      <c r="AG22" s="26">
        <f t="shared" si="4"/>
        <v>0</v>
      </c>
      <c r="AH22" s="26">
        <f t="shared" si="4"/>
        <v>0</v>
      </c>
      <c r="AI22" s="26">
        <f t="shared" si="4"/>
        <v>0</v>
      </c>
      <c r="AJ22" s="26">
        <f t="shared" si="4"/>
        <v>0</v>
      </c>
      <c r="AK22" s="26">
        <f t="shared" si="4"/>
        <v>0</v>
      </c>
      <c r="AL22" s="26">
        <f t="shared" si="4"/>
        <v>0</v>
      </c>
      <c r="AM22" s="26">
        <f t="shared" si="4"/>
        <v>0</v>
      </c>
      <c r="AN22" s="26">
        <f t="shared" si="4"/>
        <v>0</v>
      </c>
      <c r="AO22" s="26">
        <f t="shared" si="4"/>
        <v>0</v>
      </c>
      <c r="AP22" s="26">
        <f t="shared" si="4"/>
        <v>0</v>
      </c>
      <c r="AQ22" s="26">
        <f t="shared" si="4"/>
        <v>0</v>
      </c>
    </row>
    <row r="23" spans="1:43" ht="15" customHeight="1" x14ac:dyDescent="0.3">
      <c r="A23" s="3" t="s">
        <v>116</v>
      </c>
      <c r="D23" s="26">
        <f t="shared" ref="D23:AQ23" si="5">D22*$C$17</f>
        <v>0</v>
      </c>
      <c r="E23" s="26">
        <f t="shared" si="5"/>
        <v>0</v>
      </c>
      <c r="F23" s="26">
        <f t="shared" si="5"/>
        <v>0</v>
      </c>
      <c r="G23" s="26">
        <f t="shared" ca="1" si="5"/>
        <v>9.8631599086056703</v>
      </c>
      <c r="H23" s="26">
        <f t="shared" ca="1" si="5"/>
        <v>9.5731747576650399</v>
      </c>
      <c r="I23" s="26">
        <f t="shared" ca="1" si="5"/>
        <v>9.2457187610132667</v>
      </c>
      <c r="J23" s="26">
        <f t="shared" ca="1" si="5"/>
        <v>8.8779838774611282</v>
      </c>
      <c r="K23" s="26">
        <f t="shared" ca="1" si="5"/>
        <v>8.4669720944177396</v>
      </c>
      <c r="L23" s="26">
        <f t="shared" ca="1" si="5"/>
        <v>8.0094829307749524</v>
      </c>
      <c r="M23" s="26">
        <f t="shared" ca="1" si="5"/>
        <v>7.5021001244998375</v>
      </c>
      <c r="N23" s="26">
        <f t="shared" ca="1" si="5"/>
        <v>6.9411774518812814</v>
      </c>
      <c r="O23" s="26">
        <f t="shared" ca="1" si="5"/>
        <v>6.322823621928265</v>
      </c>
      <c r="P23" s="26">
        <f t="shared" ca="1" si="5"/>
        <v>5.6428861857418786</v>
      </c>
      <c r="Q23" s="26">
        <f t="shared" ca="1" si="5"/>
        <v>4.8969343967710257</v>
      </c>
      <c r="R23" s="26">
        <f t="shared" ca="1" si="5"/>
        <v>4.0802409536962596</v>
      </c>
      <c r="S23" s="26">
        <f t="shared" ca="1" si="5"/>
        <v>3.1877625532443714</v>
      </c>
      <c r="T23" s="26">
        <f t="shared" ca="1" si="5"/>
        <v>2.2141191755142309</v>
      </c>
      <c r="U23" s="26">
        <f t="shared" ca="1" si="5"/>
        <v>1.1535720193578127</v>
      </c>
      <c r="V23" s="26">
        <f t="shared" si="5"/>
        <v>0</v>
      </c>
      <c r="W23" s="26">
        <f t="shared" si="5"/>
        <v>0</v>
      </c>
      <c r="X23" s="26">
        <f t="shared" si="5"/>
        <v>0</v>
      </c>
      <c r="Y23" s="26">
        <f t="shared" si="5"/>
        <v>0</v>
      </c>
      <c r="Z23" s="26">
        <f t="shared" si="5"/>
        <v>0</v>
      </c>
      <c r="AA23" s="26">
        <f t="shared" si="5"/>
        <v>0</v>
      </c>
      <c r="AB23" s="26">
        <f t="shared" si="5"/>
        <v>0</v>
      </c>
      <c r="AC23" s="26">
        <f t="shared" si="5"/>
        <v>0</v>
      </c>
      <c r="AD23" s="26">
        <f t="shared" si="5"/>
        <v>0</v>
      </c>
      <c r="AE23" s="26">
        <f t="shared" si="5"/>
        <v>0</v>
      </c>
      <c r="AF23" s="26">
        <f t="shared" si="5"/>
        <v>0</v>
      </c>
      <c r="AG23" s="26">
        <f t="shared" si="5"/>
        <v>0</v>
      </c>
      <c r="AH23" s="26">
        <f t="shared" si="5"/>
        <v>0</v>
      </c>
      <c r="AI23" s="26">
        <f t="shared" si="5"/>
        <v>0</v>
      </c>
      <c r="AJ23" s="26">
        <f t="shared" si="5"/>
        <v>0</v>
      </c>
      <c r="AK23" s="26">
        <f t="shared" si="5"/>
        <v>0</v>
      </c>
      <c r="AL23" s="26">
        <f t="shared" si="5"/>
        <v>0</v>
      </c>
      <c r="AM23" s="26">
        <f t="shared" si="5"/>
        <v>0</v>
      </c>
      <c r="AN23" s="26">
        <f t="shared" si="5"/>
        <v>0</v>
      </c>
      <c r="AO23" s="26">
        <f t="shared" si="5"/>
        <v>0</v>
      </c>
      <c r="AP23" s="26">
        <f t="shared" si="5"/>
        <v>0</v>
      </c>
      <c r="AQ23" s="26">
        <f t="shared" si="5"/>
        <v>0</v>
      </c>
    </row>
    <row r="24" spans="1:43" ht="15" customHeight="1" x14ac:dyDescent="0.3">
      <c r="A24" s="3" t="s">
        <v>163</v>
      </c>
      <c r="D24" s="26">
        <f t="shared" ref="D24:AQ24" si="6">IF(D11=1,MIN(MAX(D12-D23,0),D22),0)</f>
        <v>0</v>
      </c>
      <c r="E24" s="26">
        <f t="shared" si="6"/>
        <v>0</v>
      </c>
      <c r="F24" s="26">
        <f t="shared" si="6"/>
        <v>0</v>
      </c>
      <c r="G24" s="26">
        <f t="shared" ca="1" si="6"/>
        <v>4.4613100144712519</v>
      </c>
      <c r="H24" s="26">
        <f t="shared" ca="1" si="6"/>
        <v>5.0377845638734211</v>
      </c>
      <c r="I24" s="26">
        <f t="shared" ca="1" si="6"/>
        <v>5.6574597469559613</v>
      </c>
      <c r="J24" s="26">
        <f t="shared" ca="1" si="6"/>
        <v>6.3232582006674818</v>
      </c>
      <c r="K24" s="26">
        <f t="shared" ca="1" si="6"/>
        <v>7.0382948252734465</v>
      </c>
      <c r="L24" s="26">
        <f t="shared" ca="1" si="6"/>
        <v>7.8058893273100534</v>
      </c>
      <c r="M24" s="26">
        <f t="shared" ca="1" si="6"/>
        <v>8.6295795787468776</v>
      </c>
      <c r="N24" s="26">
        <f t="shared" ca="1" si="6"/>
        <v>9.5131358454303623</v>
      </c>
      <c r="O24" s="26">
        <f t="shared" ca="1" si="6"/>
        <v>10.460575941329616</v>
      </c>
      <c r="P24" s="26">
        <f t="shared" ca="1" si="6"/>
        <v>11.476181368781155</v>
      </c>
      <c r="Q24" s="26">
        <f t="shared" ca="1" si="6"/>
        <v>12.564514508842468</v>
      </c>
      <c r="R24" s="26">
        <f t="shared" ca="1" si="6"/>
        <v>13.730436930029503</v>
      </c>
      <c r="S24" s="26">
        <f t="shared" ca="1" si="6"/>
        <v>14.979128888155905</v>
      </c>
      <c r="T24" s="26">
        <f t="shared" ca="1" si="6"/>
        <v>16.316110094714052</v>
      </c>
      <c r="U24" s="26">
        <f t="shared" ca="1" si="6"/>
        <v>17.747261836274042</v>
      </c>
      <c r="V24" s="26">
        <f t="shared" si="6"/>
        <v>0</v>
      </c>
      <c r="W24" s="26">
        <f t="shared" si="6"/>
        <v>0</v>
      </c>
      <c r="X24" s="26">
        <f t="shared" si="6"/>
        <v>0</v>
      </c>
      <c r="Y24" s="26">
        <f t="shared" si="6"/>
        <v>0</v>
      </c>
      <c r="Z24" s="26">
        <f t="shared" si="6"/>
        <v>0</v>
      </c>
      <c r="AA24" s="26">
        <f t="shared" si="6"/>
        <v>0</v>
      </c>
      <c r="AB24" s="26">
        <f t="shared" si="6"/>
        <v>0</v>
      </c>
      <c r="AC24" s="26">
        <f t="shared" si="6"/>
        <v>0</v>
      </c>
      <c r="AD24" s="26">
        <f t="shared" si="6"/>
        <v>0</v>
      </c>
      <c r="AE24" s="26">
        <f t="shared" si="6"/>
        <v>0</v>
      </c>
      <c r="AF24" s="26">
        <f t="shared" si="6"/>
        <v>0</v>
      </c>
      <c r="AG24" s="26">
        <f t="shared" si="6"/>
        <v>0</v>
      </c>
      <c r="AH24" s="26">
        <f t="shared" si="6"/>
        <v>0</v>
      </c>
      <c r="AI24" s="26">
        <f t="shared" si="6"/>
        <v>0</v>
      </c>
      <c r="AJ24" s="26">
        <f t="shared" si="6"/>
        <v>0</v>
      </c>
      <c r="AK24" s="26">
        <f t="shared" si="6"/>
        <v>0</v>
      </c>
      <c r="AL24" s="26">
        <f t="shared" si="6"/>
        <v>0</v>
      </c>
      <c r="AM24" s="26">
        <f t="shared" si="6"/>
        <v>0</v>
      </c>
      <c r="AN24" s="26">
        <f t="shared" si="6"/>
        <v>0</v>
      </c>
      <c r="AO24" s="26">
        <f t="shared" si="6"/>
        <v>0</v>
      </c>
      <c r="AP24" s="26">
        <f t="shared" si="6"/>
        <v>0</v>
      </c>
      <c r="AQ24" s="26">
        <f t="shared" si="6"/>
        <v>0</v>
      </c>
    </row>
    <row r="25" spans="1:43" ht="15" customHeight="1" x14ac:dyDescent="0.3">
      <c r="A25" s="3" t="s">
        <v>164</v>
      </c>
      <c r="D25" s="26">
        <f t="shared" ref="D25:AQ25" si="7">D23+D24</f>
        <v>0</v>
      </c>
      <c r="E25" s="26">
        <f t="shared" si="7"/>
        <v>0</v>
      </c>
      <c r="F25" s="26">
        <f t="shared" si="7"/>
        <v>0</v>
      </c>
      <c r="G25" s="26">
        <f t="shared" ca="1" si="7"/>
        <v>14.324469923076922</v>
      </c>
      <c r="H25" s="26">
        <f t="shared" ca="1" si="7"/>
        <v>14.610959321538461</v>
      </c>
      <c r="I25" s="26">
        <f t="shared" ca="1" si="7"/>
        <v>14.903178507969228</v>
      </c>
      <c r="J25" s="26">
        <f t="shared" ca="1" si="7"/>
        <v>15.20124207812861</v>
      </c>
      <c r="K25" s="26">
        <f t="shared" ca="1" si="7"/>
        <v>15.505266919691186</v>
      </c>
      <c r="L25" s="26">
        <f t="shared" ca="1" si="7"/>
        <v>15.815372258085006</v>
      </c>
      <c r="M25" s="26">
        <f t="shared" ca="1" si="7"/>
        <v>16.131679703246714</v>
      </c>
      <c r="N25" s="26">
        <f t="shared" ca="1" si="7"/>
        <v>16.454313297311643</v>
      </c>
      <c r="O25" s="26">
        <f t="shared" ca="1" si="7"/>
        <v>16.783399563257881</v>
      </c>
      <c r="P25" s="26">
        <f t="shared" ca="1" si="7"/>
        <v>17.119067554523035</v>
      </c>
      <c r="Q25" s="26">
        <f t="shared" ca="1" si="7"/>
        <v>17.461448905613494</v>
      </c>
      <c r="R25" s="26">
        <f t="shared" ca="1" si="7"/>
        <v>17.810677883725763</v>
      </c>
      <c r="S25" s="26">
        <f t="shared" ca="1" si="7"/>
        <v>18.166891441400278</v>
      </c>
      <c r="T25" s="26">
        <f t="shared" ca="1" si="7"/>
        <v>18.530229270228283</v>
      </c>
      <c r="U25" s="26">
        <f t="shared" ca="1" si="7"/>
        <v>18.900833855631856</v>
      </c>
      <c r="V25" s="26">
        <f t="shared" si="7"/>
        <v>0</v>
      </c>
      <c r="W25" s="26">
        <f t="shared" si="7"/>
        <v>0</v>
      </c>
      <c r="X25" s="26">
        <f t="shared" si="7"/>
        <v>0</v>
      </c>
      <c r="Y25" s="26">
        <f t="shared" si="7"/>
        <v>0</v>
      </c>
      <c r="Z25" s="26">
        <f t="shared" si="7"/>
        <v>0</v>
      </c>
      <c r="AA25" s="26">
        <f t="shared" si="7"/>
        <v>0</v>
      </c>
      <c r="AB25" s="26">
        <f t="shared" si="7"/>
        <v>0</v>
      </c>
      <c r="AC25" s="26">
        <f t="shared" si="7"/>
        <v>0</v>
      </c>
      <c r="AD25" s="26">
        <f t="shared" si="7"/>
        <v>0</v>
      </c>
      <c r="AE25" s="26">
        <f t="shared" si="7"/>
        <v>0</v>
      </c>
      <c r="AF25" s="26">
        <f t="shared" si="7"/>
        <v>0</v>
      </c>
      <c r="AG25" s="26">
        <f t="shared" si="7"/>
        <v>0</v>
      </c>
      <c r="AH25" s="26">
        <f t="shared" si="7"/>
        <v>0</v>
      </c>
      <c r="AI25" s="26">
        <f t="shared" si="7"/>
        <v>0</v>
      </c>
      <c r="AJ25" s="26">
        <f t="shared" si="7"/>
        <v>0</v>
      </c>
      <c r="AK25" s="26">
        <f t="shared" si="7"/>
        <v>0</v>
      </c>
      <c r="AL25" s="26">
        <f t="shared" si="7"/>
        <v>0</v>
      </c>
      <c r="AM25" s="26">
        <f t="shared" si="7"/>
        <v>0</v>
      </c>
      <c r="AN25" s="26">
        <f t="shared" si="7"/>
        <v>0</v>
      </c>
      <c r="AO25" s="26">
        <f t="shared" si="7"/>
        <v>0</v>
      </c>
      <c r="AP25" s="26">
        <f t="shared" si="7"/>
        <v>0</v>
      </c>
      <c r="AQ25" s="26">
        <f t="shared" si="7"/>
        <v>0</v>
      </c>
    </row>
    <row r="26" spans="1:43" ht="15" customHeight="1" x14ac:dyDescent="0.3">
      <c r="A26" s="3" t="s">
        <v>165</v>
      </c>
      <c r="D26" s="26">
        <f t="shared" ref="D26:AQ26" si="8">D22-D24</f>
        <v>0</v>
      </c>
      <c r="E26" s="26">
        <f t="shared" si="8"/>
        <v>0</v>
      </c>
      <c r="F26" s="26">
        <f t="shared" si="8"/>
        <v>0</v>
      </c>
      <c r="G26" s="26">
        <f t="shared" ca="1" si="8"/>
        <v>147.27961165638521</v>
      </c>
      <c r="H26" s="26">
        <f t="shared" ca="1" si="8"/>
        <v>142.24182709251178</v>
      </c>
      <c r="I26" s="26">
        <f t="shared" ca="1" si="8"/>
        <v>136.58436734555582</v>
      </c>
      <c r="J26" s="26">
        <f t="shared" ca="1" si="8"/>
        <v>130.26110914488834</v>
      </c>
      <c r="K26" s="26">
        <f t="shared" ca="1" si="8"/>
        <v>123.22281431961486</v>
      </c>
      <c r="L26" s="26">
        <f t="shared" ca="1" si="8"/>
        <v>115.4169249923046</v>
      </c>
      <c r="M26" s="26">
        <f t="shared" ca="1" si="8"/>
        <v>106.78734541355831</v>
      </c>
      <c r="N26" s="26">
        <f t="shared" ca="1" si="8"/>
        <v>97.274209568127816</v>
      </c>
      <c r="O26" s="26">
        <f t="shared" ca="1" si="8"/>
        <v>86.813633626797525</v>
      </c>
      <c r="P26" s="26">
        <f t="shared" ca="1" si="8"/>
        <v>75.337452258016981</v>
      </c>
      <c r="Q26" s="26">
        <f t="shared" ca="1" si="8"/>
        <v>62.772937749173309</v>
      </c>
      <c r="R26" s="26">
        <f t="shared" ca="1" si="8"/>
        <v>49.042500819143719</v>
      </c>
      <c r="S26" s="26">
        <f t="shared" ca="1" si="8"/>
        <v>34.063371930988268</v>
      </c>
      <c r="T26" s="26">
        <f t="shared" ca="1" si="8"/>
        <v>17.747261836274117</v>
      </c>
      <c r="U26" s="26">
        <f t="shared" ca="1" si="8"/>
        <v>0</v>
      </c>
      <c r="V26" s="26">
        <f t="shared" si="8"/>
        <v>0</v>
      </c>
      <c r="W26" s="26">
        <f t="shared" si="8"/>
        <v>0</v>
      </c>
      <c r="X26" s="26">
        <f t="shared" si="8"/>
        <v>0</v>
      </c>
      <c r="Y26" s="26">
        <f t="shared" si="8"/>
        <v>0</v>
      </c>
      <c r="Z26" s="26">
        <f t="shared" si="8"/>
        <v>0</v>
      </c>
      <c r="AA26" s="26">
        <f t="shared" si="8"/>
        <v>0</v>
      </c>
      <c r="AB26" s="26">
        <f t="shared" si="8"/>
        <v>0</v>
      </c>
      <c r="AC26" s="26">
        <f t="shared" si="8"/>
        <v>0</v>
      </c>
      <c r="AD26" s="26">
        <f t="shared" si="8"/>
        <v>0</v>
      </c>
      <c r="AE26" s="26">
        <f t="shared" si="8"/>
        <v>0</v>
      </c>
      <c r="AF26" s="26">
        <f t="shared" si="8"/>
        <v>0</v>
      </c>
      <c r="AG26" s="26">
        <f t="shared" si="8"/>
        <v>0</v>
      </c>
      <c r="AH26" s="26">
        <f t="shared" si="8"/>
        <v>0</v>
      </c>
      <c r="AI26" s="26">
        <f t="shared" si="8"/>
        <v>0</v>
      </c>
      <c r="AJ26" s="26">
        <f t="shared" si="8"/>
        <v>0</v>
      </c>
      <c r="AK26" s="26">
        <f t="shared" si="8"/>
        <v>0</v>
      </c>
      <c r="AL26" s="26">
        <f t="shared" si="8"/>
        <v>0</v>
      </c>
      <c r="AM26" s="26">
        <f t="shared" si="8"/>
        <v>0</v>
      </c>
      <c r="AN26" s="26">
        <f t="shared" si="8"/>
        <v>0</v>
      </c>
      <c r="AO26" s="26">
        <f t="shared" si="8"/>
        <v>0</v>
      </c>
      <c r="AP26" s="26">
        <f t="shared" si="8"/>
        <v>0</v>
      </c>
      <c r="AQ26" s="26">
        <f t="shared" si="8"/>
        <v>0</v>
      </c>
    </row>
    <row r="27" spans="1:43" ht="15" customHeight="1" x14ac:dyDescent="0.3">
      <c r="A27" s="6" t="s">
        <v>166</v>
      </c>
      <c r="D27" s="37" t="str">
        <f t="shared" ref="D27:AQ27" si="9">IF(D25&gt;0,D10/D25,"")</f>
        <v/>
      </c>
      <c r="E27" s="37" t="str">
        <f t="shared" si="9"/>
        <v/>
      </c>
      <c r="F27" s="37" t="str">
        <f t="shared" si="9"/>
        <v/>
      </c>
      <c r="G27" s="37">
        <f t="shared" ca="1" si="9"/>
        <v>1.3</v>
      </c>
      <c r="H27" s="37">
        <f t="shared" ca="1" si="9"/>
        <v>1.3</v>
      </c>
      <c r="I27" s="37">
        <f t="shared" ca="1" si="9"/>
        <v>1.3</v>
      </c>
      <c r="J27" s="37">
        <f t="shared" ca="1" si="9"/>
        <v>1.3</v>
      </c>
      <c r="K27" s="37">
        <f t="shared" ca="1" si="9"/>
        <v>1.3</v>
      </c>
      <c r="L27" s="37">
        <f t="shared" ca="1" si="9"/>
        <v>1.3</v>
      </c>
      <c r="M27" s="37">
        <f t="shared" ca="1" si="9"/>
        <v>1.3</v>
      </c>
      <c r="N27" s="37">
        <f t="shared" ca="1" si="9"/>
        <v>1.3</v>
      </c>
      <c r="O27" s="37">
        <f t="shared" ca="1" si="9"/>
        <v>1.3</v>
      </c>
      <c r="P27" s="37">
        <f t="shared" ca="1" si="9"/>
        <v>1.2999999999999998</v>
      </c>
      <c r="Q27" s="37">
        <f t="shared" ca="1" si="9"/>
        <v>1.3</v>
      </c>
      <c r="R27" s="37">
        <f t="shared" ca="1" si="9"/>
        <v>1.3</v>
      </c>
      <c r="S27" s="37">
        <f t="shared" ca="1" si="9"/>
        <v>1.3</v>
      </c>
      <c r="T27" s="37">
        <f t="shared" ca="1" si="9"/>
        <v>1.3</v>
      </c>
      <c r="U27" s="37">
        <f t="shared" ca="1" si="9"/>
        <v>1.3000000000000684</v>
      </c>
      <c r="V27" s="37" t="str">
        <f t="shared" si="9"/>
        <v/>
      </c>
      <c r="W27" s="37" t="str">
        <f t="shared" si="9"/>
        <v/>
      </c>
      <c r="X27" s="37" t="str">
        <f t="shared" si="9"/>
        <v/>
      </c>
      <c r="Y27" s="37" t="str">
        <f t="shared" si="9"/>
        <v/>
      </c>
      <c r="Z27" s="37" t="str">
        <f t="shared" si="9"/>
        <v/>
      </c>
      <c r="AA27" s="37" t="str">
        <f t="shared" si="9"/>
        <v/>
      </c>
      <c r="AB27" s="37" t="str">
        <f t="shared" si="9"/>
        <v/>
      </c>
      <c r="AC27" s="37" t="str">
        <f t="shared" si="9"/>
        <v/>
      </c>
      <c r="AD27" s="37" t="str">
        <f t="shared" si="9"/>
        <v/>
      </c>
      <c r="AE27" s="37" t="str">
        <f t="shared" si="9"/>
        <v/>
      </c>
      <c r="AF27" s="37" t="str">
        <f t="shared" si="9"/>
        <v/>
      </c>
      <c r="AG27" s="37" t="str">
        <f t="shared" si="9"/>
        <v/>
      </c>
      <c r="AH27" s="37" t="str">
        <f t="shared" si="9"/>
        <v/>
      </c>
      <c r="AI27" s="37" t="str">
        <f t="shared" si="9"/>
        <v/>
      </c>
      <c r="AJ27" s="37" t="str">
        <f t="shared" si="9"/>
        <v/>
      </c>
      <c r="AK27" s="37" t="str">
        <f t="shared" si="9"/>
        <v/>
      </c>
      <c r="AL27" s="37" t="str">
        <f t="shared" si="9"/>
        <v/>
      </c>
      <c r="AM27" s="37" t="str">
        <f t="shared" si="9"/>
        <v/>
      </c>
      <c r="AN27" s="37" t="str">
        <f t="shared" si="9"/>
        <v/>
      </c>
      <c r="AO27" s="37" t="str">
        <f t="shared" si="9"/>
        <v/>
      </c>
      <c r="AP27" s="37" t="str">
        <f t="shared" si="9"/>
        <v/>
      </c>
      <c r="AQ27" s="37" t="str">
        <f t="shared" si="9"/>
        <v/>
      </c>
    </row>
    <row r="29" spans="1:43" ht="18" customHeight="1" x14ac:dyDescent="0.3">
      <c r="A29" s="51" t="s">
        <v>167</v>
      </c>
      <c r="B29" s="51"/>
      <c r="C29" s="51"/>
    </row>
    <row r="30" spans="1:43" ht="15" customHeight="1" x14ac:dyDescent="0.3">
      <c r="A30" s="3" t="s">
        <v>168</v>
      </c>
      <c r="C30" s="26">
        <f ca="1">INDEX(D26:AQ26,MATCH($C$18,D7:AQ7,0))</f>
        <v>0</v>
      </c>
    </row>
    <row r="31" spans="1:43" ht="15" customHeight="1" x14ac:dyDescent="0.3">
      <c r="A31" s="3" t="s">
        <v>169</v>
      </c>
      <c r="C31" s="38">
        <f ca="1">MIN(D27:AQ27)</f>
        <v>1.2999999999999998</v>
      </c>
    </row>
    <row r="32" spans="1:43" ht="15" customHeight="1" x14ac:dyDescent="0.3">
      <c r="A32" s="3" t="s">
        <v>170</v>
      </c>
      <c r="C32" s="38">
        <f ca="1">AVERAGE(D27:AQ27)</f>
        <v>1.3000000000000047</v>
      </c>
    </row>
  </sheetData>
  <mergeCells count="3">
    <mergeCell ref="A9:AQ9"/>
    <mergeCell ref="A21:AQ21"/>
    <mergeCell ref="A29:C29"/>
  </mergeCells>
  <conditionalFormatting sqref="C30">
    <cfRule type="cellIs" dxfId="2" priority="3" operator="notBetween">
      <formula>-0.05</formula>
      <formula>0.05</formula>
    </cfRule>
  </conditionalFormatting>
  <conditionalFormatting sqref="C31">
    <cfRule type="expression" dxfId="1" priority="4">
      <formula>C31&lt;$C$16-0.005</formula>
    </cfRule>
  </conditionalFormatting>
  <conditionalFormatting sqref="D27:AQ27">
    <cfRule type="expression" dxfId="0" priority="2">
      <formula>AND(ISNUMBER(D27),D27&lt;$C$16-0.005)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Q30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44" customWidth="1"/>
    <col min="2" max="3" width="14" customWidth="1"/>
    <col min="4" max="43" width="10.5546875" customWidth="1"/>
  </cols>
  <sheetData>
    <row r="1" spans="1:43" ht="19.5" customHeight="1" x14ac:dyDescent="0.4">
      <c r="A1" s="1" t="s">
        <v>171</v>
      </c>
    </row>
    <row r="2" spans="1:43" ht="15" customHeight="1" x14ac:dyDescent="0.3">
      <c r="A2" s="2" t="s">
        <v>172</v>
      </c>
    </row>
    <row r="4" spans="1:43" ht="15" customHeight="1" x14ac:dyDescent="0.3">
      <c r="A4" s="6" t="s">
        <v>60</v>
      </c>
      <c r="D4" s="22">
        <f>Assumptions!D66</f>
        <v>2027</v>
      </c>
      <c r="E4" s="22">
        <f>Assumptions!E66</f>
        <v>2028</v>
      </c>
      <c r="F4" s="22">
        <f>Assumptions!F66</f>
        <v>2029</v>
      </c>
      <c r="G4" s="22">
        <f>Assumptions!G66</f>
        <v>2030</v>
      </c>
      <c r="H4" s="22">
        <f>Assumptions!H66</f>
        <v>2031</v>
      </c>
      <c r="I4" s="22">
        <f>Assumptions!I66</f>
        <v>2032</v>
      </c>
      <c r="J4" s="22">
        <f>Assumptions!J66</f>
        <v>2033</v>
      </c>
      <c r="K4" s="22">
        <f>Assumptions!K66</f>
        <v>2034</v>
      </c>
      <c r="L4" s="22">
        <f>Assumptions!L66</f>
        <v>2035</v>
      </c>
      <c r="M4" s="22">
        <f>Assumptions!M66</f>
        <v>2036</v>
      </c>
      <c r="N4" s="22">
        <f>Assumptions!N66</f>
        <v>2037</v>
      </c>
      <c r="O4" s="22">
        <f>Assumptions!O66</f>
        <v>2038</v>
      </c>
      <c r="P4" s="22">
        <f>Assumptions!P66</f>
        <v>2039</v>
      </c>
      <c r="Q4" s="22">
        <f>Assumptions!Q66</f>
        <v>2040</v>
      </c>
      <c r="R4" s="22">
        <f>Assumptions!R66</f>
        <v>2041</v>
      </c>
      <c r="S4" s="22">
        <f>Assumptions!S66</f>
        <v>2042</v>
      </c>
      <c r="T4" s="22">
        <f>Assumptions!T66</f>
        <v>2043</v>
      </c>
      <c r="U4" s="22">
        <f>Assumptions!U66</f>
        <v>2044</v>
      </c>
      <c r="V4" s="22">
        <f>Assumptions!V66</f>
        <v>2045</v>
      </c>
      <c r="W4" s="22">
        <f>Assumptions!W66</f>
        <v>2046</v>
      </c>
      <c r="X4" s="22">
        <f>Assumptions!X66</f>
        <v>2047</v>
      </c>
      <c r="Y4" s="22">
        <f>Assumptions!Y66</f>
        <v>2048</v>
      </c>
      <c r="Z4" s="22">
        <f>Assumptions!Z66</f>
        <v>2049</v>
      </c>
      <c r="AA4" s="22">
        <f>Assumptions!AA66</f>
        <v>2050</v>
      </c>
      <c r="AB4" s="22">
        <f>Assumptions!AB66</f>
        <v>2051</v>
      </c>
      <c r="AC4" s="22">
        <f>Assumptions!AC66</f>
        <v>2052</v>
      </c>
      <c r="AD4" s="22">
        <f>Assumptions!AD66</f>
        <v>2053</v>
      </c>
      <c r="AE4" s="22">
        <f>Assumptions!AE66</f>
        <v>2054</v>
      </c>
      <c r="AF4" s="22">
        <f>Assumptions!AF66</f>
        <v>2055</v>
      </c>
      <c r="AG4" s="22">
        <f>Assumptions!AG66</f>
        <v>2056</v>
      </c>
      <c r="AH4" s="22">
        <f>Assumptions!AH66</f>
        <v>2057</v>
      </c>
      <c r="AI4" s="22">
        <f>Assumptions!AI66</f>
        <v>2058</v>
      </c>
      <c r="AJ4" s="22">
        <f>Assumptions!AJ66</f>
        <v>2059</v>
      </c>
      <c r="AK4" s="22">
        <f>Assumptions!AK66</f>
        <v>2060</v>
      </c>
      <c r="AL4" s="22">
        <f>Assumptions!AL66</f>
        <v>2061</v>
      </c>
      <c r="AM4" s="22">
        <f>Assumptions!AM66</f>
        <v>2062</v>
      </c>
      <c r="AN4" s="22">
        <f>Assumptions!AN66</f>
        <v>2063</v>
      </c>
      <c r="AO4" s="22">
        <f>Assumptions!AO66</f>
        <v>2064</v>
      </c>
      <c r="AP4" s="22">
        <f>Assumptions!AP66</f>
        <v>2065</v>
      </c>
      <c r="AQ4" s="22">
        <f>Assumptions!AQ66</f>
        <v>2066</v>
      </c>
    </row>
    <row r="5" spans="1:43" ht="15" customHeight="1" x14ac:dyDescent="0.3">
      <c r="A5" s="6" t="s">
        <v>70</v>
      </c>
      <c r="D5" s="23" t="str">
        <f>Assumptions!D67</f>
        <v>Construction</v>
      </c>
      <c r="E5" s="23" t="str">
        <f>Assumptions!E67</f>
        <v>Construction</v>
      </c>
      <c r="F5" s="23" t="str">
        <f>Assumptions!F67</f>
        <v>Construction</v>
      </c>
      <c r="G5" s="23" t="str">
        <f>Assumptions!G67</f>
        <v>Operation</v>
      </c>
      <c r="H5" s="23" t="str">
        <f>Assumptions!H67</f>
        <v>Operation</v>
      </c>
      <c r="I5" s="23" t="str">
        <f>Assumptions!I67</f>
        <v>Operation</v>
      </c>
      <c r="J5" s="23" t="str">
        <f>Assumptions!J67</f>
        <v>Operation</v>
      </c>
      <c r="K5" s="23" t="str">
        <f>Assumptions!K67</f>
        <v>Operation</v>
      </c>
      <c r="L5" s="23" t="str">
        <f>Assumptions!L67</f>
        <v>Operation</v>
      </c>
      <c r="M5" s="23" t="str">
        <f>Assumptions!M67</f>
        <v>Operation</v>
      </c>
      <c r="N5" s="23" t="str">
        <f>Assumptions!N67</f>
        <v>Operation</v>
      </c>
      <c r="O5" s="23" t="str">
        <f>Assumptions!O67</f>
        <v>Operation</v>
      </c>
      <c r="P5" s="23" t="str">
        <f>Assumptions!P67</f>
        <v>Operation</v>
      </c>
      <c r="Q5" s="23" t="str">
        <f>Assumptions!Q67</f>
        <v>Operation</v>
      </c>
      <c r="R5" s="23" t="str">
        <f>Assumptions!R67</f>
        <v>Operation</v>
      </c>
      <c r="S5" s="23" t="str">
        <f>Assumptions!S67</f>
        <v>Operation</v>
      </c>
      <c r="T5" s="23" t="str">
        <f>Assumptions!T67</f>
        <v>Operation</v>
      </c>
      <c r="U5" s="23" t="str">
        <f>Assumptions!U67</f>
        <v>Operation</v>
      </c>
      <c r="V5" s="23" t="str">
        <f>Assumptions!V67</f>
        <v>Operation</v>
      </c>
      <c r="W5" s="23" t="str">
        <f>Assumptions!W67</f>
        <v>Operation</v>
      </c>
      <c r="X5" s="23" t="str">
        <f>Assumptions!X67</f>
        <v>Operation</v>
      </c>
      <c r="Y5" s="23" t="str">
        <f>Assumptions!Y67</f>
        <v>Operation</v>
      </c>
      <c r="Z5" s="23" t="str">
        <f>Assumptions!Z67</f>
        <v>Operation</v>
      </c>
      <c r="AA5" s="23" t="str">
        <f>Assumptions!AA67</f>
        <v>Operation</v>
      </c>
      <c r="AB5" s="23" t="str">
        <f>Assumptions!AB67</f>
        <v>Operation</v>
      </c>
      <c r="AC5" s="23" t="str">
        <f>Assumptions!AC67</f>
        <v>Operation</v>
      </c>
      <c r="AD5" s="23" t="str">
        <f>Assumptions!AD67</f>
        <v>Operation</v>
      </c>
      <c r="AE5" s="23" t="str">
        <f>Assumptions!AE67</f>
        <v>Operation</v>
      </c>
      <c r="AF5" s="23" t="str">
        <f>Assumptions!AF67</f>
        <v>Operation</v>
      </c>
      <c r="AG5" s="23" t="str">
        <f>Assumptions!AG67</f>
        <v>Operation</v>
      </c>
      <c r="AH5" s="23" t="str">
        <f>Assumptions!AH67</f>
        <v>Operation</v>
      </c>
      <c r="AI5" s="23" t="str">
        <f>Assumptions!AI67</f>
        <v>Operation</v>
      </c>
      <c r="AJ5" s="23" t="str">
        <f>Assumptions!AJ67</f>
        <v>Operation</v>
      </c>
      <c r="AK5" s="23" t="str">
        <f>Assumptions!AK67</f>
        <v>-</v>
      </c>
      <c r="AL5" s="23" t="str">
        <f>Assumptions!AL67</f>
        <v>-</v>
      </c>
      <c r="AM5" s="23" t="str">
        <f>Assumptions!AM67</f>
        <v>-</v>
      </c>
      <c r="AN5" s="23" t="str">
        <f>Assumptions!AN67</f>
        <v>-</v>
      </c>
      <c r="AO5" s="23" t="str">
        <f>Assumptions!AO67</f>
        <v>-</v>
      </c>
      <c r="AP5" s="23" t="str">
        <f>Assumptions!AP67</f>
        <v>-</v>
      </c>
      <c r="AQ5" s="23" t="str">
        <f>Assumptions!AQ67</f>
        <v>-</v>
      </c>
    </row>
    <row r="6" spans="1:43" ht="15" customHeight="1" x14ac:dyDescent="0.3">
      <c r="A6" s="6" t="s">
        <v>63</v>
      </c>
      <c r="D6" s="24" t="str">
        <f>Assumptions!D69</f>
        <v/>
      </c>
      <c r="E6" s="24" t="str">
        <f>Assumptions!E69</f>
        <v/>
      </c>
      <c r="F6" s="24" t="str">
        <f>Assumptions!F69</f>
        <v/>
      </c>
      <c r="G6" s="24">
        <f>Assumptions!G69</f>
        <v>1</v>
      </c>
      <c r="H6" s="24">
        <f>Assumptions!H69</f>
        <v>2</v>
      </c>
      <c r="I6" s="24">
        <f>Assumptions!I69</f>
        <v>3</v>
      </c>
      <c r="J6" s="24">
        <f>Assumptions!J69</f>
        <v>4</v>
      </c>
      <c r="K6" s="24">
        <f>Assumptions!K69</f>
        <v>5</v>
      </c>
      <c r="L6" s="24">
        <f>Assumptions!L69</f>
        <v>6</v>
      </c>
      <c r="M6" s="24">
        <f>Assumptions!M69</f>
        <v>7</v>
      </c>
      <c r="N6" s="24">
        <f>Assumptions!N69</f>
        <v>8</v>
      </c>
      <c r="O6" s="24">
        <f>Assumptions!O69</f>
        <v>9</v>
      </c>
      <c r="P6" s="24">
        <f>Assumptions!P69</f>
        <v>10</v>
      </c>
      <c r="Q6" s="24">
        <f>Assumptions!Q69</f>
        <v>11</v>
      </c>
      <c r="R6" s="24">
        <f>Assumptions!R69</f>
        <v>12</v>
      </c>
      <c r="S6" s="24">
        <f>Assumptions!S69</f>
        <v>13</v>
      </c>
      <c r="T6" s="24">
        <f>Assumptions!T69</f>
        <v>14</v>
      </c>
      <c r="U6" s="24">
        <f>Assumptions!U69</f>
        <v>15</v>
      </c>
      <c r="V6" s="24">
        <f>Assumptions!V69</f>
        <v>16</v>
      </c>
      <c r="W6" s="24">
        <f>Assumptions!W69</f>
        <v>17</v>
      </c>
      <c r="X6" s="24">
        <f>Assumptions!X69</f>
        <v>18</v>
      </c>
      <c r="Y6" s="24">
        <f>Assumptions!Y69</f>
        <v>19</v>
      </c>
      <c r="Z6" s="24">
        <f>Assumptions!Z69</f>
        <v>20</v>
      </c>
      <c r="AA6" s="24">
        <f>Assumptions!AA69</f>
        <v>21</v>
      </c>
      <c r="AB6" s="24">
        <f>Assumptions!AB69</f>
        <v>22</v>
      </c>
      <c r="AC6" s="24">
        <f>Assumptions!AC69</f>
        <v>23</v>
      </c>
      <c r="AD6" s="24">
        <f>Assumptions!AD69</f>
        <v>24</v>
      </c>
      <c r="AE6" s="24">
        <f>Assumptions!AE69</f>
        <v>25</v>
      </c>
      <c r="AF6" s="24">
        <f>Assumptions!AF69</f>
        <v>26</v>
      </c>
      <c r="AG6" s="24">
        <f>Assumptions!AG69</f>
        <v>27</v>
      </c>
      <c r="AH6" s="24">
        <f>Assumptions!AH69</f>
        <v>28</v>
      </c>
      <c r="AI6" s="24">
        <f>Assumptions!AI69</f>
        <v>29</v>
      </c>
      <c r="AJ6" s="24">
        <f>Assumptions!AJ69</f>
        <v>30</v>
      </c>
      <c r="AK6" s="24" t="str">
        <f>Assumptions!AK69</f>
        <v/>
      </c>
      <c r="AL6" s="24" t="str">
        <f>Assumptions!AL69</f>
        <v/>
      </c>
      <c r="AM6" s="24" t="str">
        <f>Assumptions!AM69</f>
        <v/>
      </c>
      <c r="AN6" s="24" t="str">
        <f>Assumptions!AN69</f>
        <v/>
      </c>
      <c r="AO6" s="24" t="str">
        <f>Assumptions!AO69</f>
        <v/>
      </c>
      <c r="AP6" s="24" t="str">
        <f>Assumptions!AP69</f>
        <v/>
      </c>
      <c r="AQ6" s="24" t="str">
        <f>Assumptions!AQ69</f>
        <v/>
      </c>
    </row>
    <row r="8" spans="1:43" ht="18" customHeight="1" x14ac:dyDescent="0.3">
      <c r="A8" s="51" t="s">
        <v>173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spans="1:43" ht="15" customHeight="1" x14ac:dyDescent="0.3">
      <c r="A9" s="3" t="s">
        <v>174</v>
      </c>
      <c r="D9" s="27">
        <f ca="1">CAPEX_SU!D19</f>
        <v>44.823320754683571</v>
      </c>
      <c r="E9" s="27">
        <f ca="1">CAPEX_SU!E19</f>
        <v>61.444479417161958</v>
      </c>
      <c r="F9" s="27">
        <f ca="1">CAPEX_SU!F19</f>
        <v>35.234141982360867</v>
      </c>
      <c r="G9" s="27">
        <f ca="1">CAPEX_SU!G19</f>
        <v>0</v>
      </c>
      <c r="H9" s="27">
        <f ca="1">CAPEX_SU!H19</f>
        <v>0</v>
      </c>
      <c r="I9" s="27">
        <f ca="1">CAPEX_SU!I19</f>
        <v>0</v>
      </c>
      <c r="J9" s="27">
        <f ca="1">CAPEX_SU!J19</f>
        <v>0</v>
      </c>
      <c r="K9" s="27">
        <f ca="1">CAPEX_SU!K19</f>
        <v>0</v>
      </c>
      <c r="L9" s="27">
        <f ca="1">CAPEX_SU!L19</f>
        <v>0</v>
      </c>
      <c r="M9" s="27">
        <f ca="1">CAPEX_SU!M19</f>
        <v>0</v>
      </c>
      <c r="N9" s="27">
        <f ca="1">CAPEX_SU!N19</f>
        <v>0</v>
      </c>
      <c r="O9" s="27">
        <f ca="1">CAPEX_SU!O19</f>
        <v>0</v>
      </c>
      <c r="P9" s="27">
        <f ca="1">CAPEX_SU!P19</f>
        <v>0</v>
      </c>
      <c r="Q9" s="27">
        <f ca="1">CAPEX_SU!Q19</f>
        <v>0</v>
      </c>
      <c r="R9" s="27">
        <f ca="1">CAPEX_SU!R19</f>
        <v>0</v>
      </c>
      <c r="S9" s="27">
        <f ca="1">CAPEX_SU!S19</f>
        <v>0</v>
      </c>
      <c r="T9" s="27">
        <f ca="1">CAPEX_SU!T19</f>
        <v>0</v>
      </c>
      <c r="U9" s="27">
        <f ca="1">CAPEX_SU!U19</f>
        <v>0</v>
      </c>
      <c r="V9" s="27">
        <f ca="1">CAPEX_SU!V19</f>
        <v>0</v>
      </c>
      <c r="W9" s="27">
        <f ca="1">CAPEX_SU!W19</f>
        <v>0</v>
      </c>
      <c r="X9" s="27">
        <f ca="1">CAPEX_SU!X19</f>
        <v>0</v>
      </c>
      <c r="Y9" s="27">
        <f ca="1">CAPEX_SU!Y19</f>
        <v>0</v>
      </c>
      <c r="Z9" s="27">
        <f ca="1">CAPEX_SU!Z19</f>
        <v>0</v>
      </c>
      <c r="AA9" s="27">
        <f ca="1">CAPEX_SU!AA19</f>
        <v>0</v>
      </c>
      <c r="AB9" s="27">
        <f ca="1">CAPEX_SU!AB19</f>
        <v>0</v>
      </c>
      <c r="AC9" s="27">
        <f ca="1">CAPEX_SU!AC19</f>
        <v>0</v>
      </c>
      <c r="AD9" s="27">
        <f ca="1">CAPEX_SU!AD19</f>
        <v>0</v>
      </c>
      <c r="AE9" s="27">
        <f ca="1">CAPEX_SU!AE19</f>
        <v>0</v>
      </c>
      <c r="AF9" s="27">
        <f ca="1">CAPEX_SU!AF19</f>
        <v>0</v>
      </c>
      <c r="AG9" s="27">
        <f ca="1">CAPEX_SU!AG19</f>
        <v>0</v>
      </c>
      <c r="AH9" s="27">
        <f ca="1">CAPEX_SU!AH19</f>
        <v>0</v>
      </c>
      <c r="AI9" s="27">
        <f ca="1">CAPEX_SU!AI19</f>
        <v>0</v>
      </c>
      <c r="AJ9" s="27">
        <f ca="1">CAPEX_SU!AJ19</f>
        <v>0</v>
      </c>
      <c r="AK9" s="27">
        <f ca="1">CAPEX_SU!AK19</f>
        <v>0</v>
      </c>
      <c r="AL9" s="27">
        <f ca="1">CAPEX_SU!AL19</f>
        <v>0</v>
      </c>
      <c r="AM9" s="27">
        <f ca="1">CAPEX_SU!AM19</f>
        <v>0</v>
      </c>
      <c r="AN9" s="27">
        <f ca="1">CAPEX_SU!AN19</f>
        <v>0</v>
      </c>
      <c r="AO9" s="27">
        <f ca="1">CAPEX_SU!AO19</f>
        <v>0</v>
      </c>
      <c r="AP9" s="27">
        <f ca="1">CAPEX_SU!AP19</f>
        <v>0</v>
      </c>
      <c r="AQ9" s="27">
        <f ca="1">CAPEX_SU!AQ19</f>
        <v>0</v>
      </c>
    </row>
    <row r="10" spans="1:43" ht="15" customHeight="1" x14ac:dyDescent="0.3">
      <c r="A10" s="3" t="s">
        <v>175</v>
      </c>
      <c r="D10" s="27">
        <f>Project_CF!D21</f>
        <v>0</v>
      </c>
      <c r="E10" s="27">
        <f>Project_CF!E21</f>
        <v>0</v>
      </c>
      <c r="F10" s="27">
        <f>Project_CF!F21</f>
        <v>0</v>
      </c>
      <c r="G10" s="27">
        <f>Project_CF!G21</f>
        <v>18.6218109</v>
      </c>
      <c r="H10" s="27">
        <f>Project_CF!H21</f>
        <v>18.994247118000001</v>
      </c>
      <c r="I10" s="27">
        <f>Project_CF!I21</f>
        <v>19.374132060359997</v>
      </c>
      <c r="J10" s="27">
        <f>Project_CF!J21</f>
        <v>19.761614701567193</v>
      </c>
      <c r="K10" s="27">
        <f>Project_CF!K21</f>
        <v>20.156846995598542</v>
      </c>
      <c r="L10" s="27">
        <f ca="1">Project_CF!L21</f>
        <v>20.559983935510509</v>
      </c>
      <c r="M10" s="27">
        <f ca="1">Project_CF!M21</f>
        <v>20.971183614220731</v>
      </c>
      <c r="N10" s="27">
        <f ca="1">Project_CF!N21</f>
        <v>21.390607286505137</v>
      </c>
      <c r="O10" s="27">
        <f ca="1">Project_CF!O21</f>
        <v>21.818419432235245</v>
      </c>
      <c r="P10" s="27">
        <f ca="1">Project_CF!P21</f>
        <v>22.254787820879944</v>
      </c>
      <c r="Q10" s="27">
        <f ca="1">Project_CF!Q21</f>
        <v>22.699883577297545</v>
      </c>
      <c r="R10" s="27">
        <f ca="1">Project_CF!R21</f>
        <v>23.153881248843494</v>
      </c>
      <c r="S10" s="27">
        <f ca="1">Project_CF!S21</f>
        <v>23.616958873820362</v>
      </c>
      <c r="T10" s="27">
        <f ca="1">Project_CF!T21</f>
        <v>24.089298051296769</v>
      </c>
      <c r="U10" s="27">
        <f ca="1">Project_CF!U21</f>
        <v>24.571084012322707</v>
      </c>
      <c r="V10" s="27">
        <f ca="1">Project_CF!V21</f>
        <v>25.062505692569161</v>
      </c>
      <c r="W10" s="27">
        <f ca="1">Project_CF!W21</f>
        <v>25.563755806420545</v>
      </c>
      <c r="X10" s="27">
        <f ca="1">Project_CF!X21</f>
        <v>22.96989604536272</v>
      </c>
      <c r="Y10" s="27">
        <f ca="1">Project_CF!Y21</f>
        <v>23.345170006680888</v>
      </c>
      <c r="Z10" s="27">
        <f ca="1">Project_CF!Z21</f>
        <v>23.75762340681451</v>
      </c>
      <c r="AA10" s="27">
        <f ca="1">Project_CF!AA21</f>
        <v>21.455825874950801</v>
      </c>
      <c r="AB10" s="27">
        <f ca="1">Project_CF!AB21</f>
        <v>21.884942392449815</v>
      </c>
      <c r="AC10" s="27">
        <f ca="1">Project_CF!AC21</f>
        <v>22.322641240298807</v>
      </c>
      <c r="AD10" s="27">
        <f ca="1">Project_CF!AD21</f>
        <v>22.769094065104781</v>
      </c>
      <c r="AE10" s="27">
        <f ca="1">Project_CF!AE21</f>
        <v>23.22447594640688</v>
      </c>
      <c r="AF10" s="27">
        <f ca="1">Project_CF!AF21</f>
        <v>23.688965465335016</v>
      </c>
      <c r="AG10" s="27">
        <f ca="1">Project_CF!AG21</f>
        <v>24.16274477464172</v>
      </c>
      <c r="AH10" s="27">
        <f ca="1">Project_CF!AH21</f>
        <v>24.64599967013455</v>
      </c>
      <c r="AI10" s="27">
        <f ca="1">Project_CF!AI21</f>
        <v>25.138919663537251</v>
      </c>
      <c r="AJ10" s="27">
        <f ca="1">Project_CF!AJ21</f>
        <v>25.641698056807993</v>
      </c>
      <c r="AK10" s="27">
        <f ca="1">Project_CF!AK21</f>
        <v>0</v>
      </c>
      <c r="AL10" s="27">
        <f ca="1">Project_CF!AL21</f>
        <v>0</v>
      </c>
      <c r="AM10" s="27">
        <f ca="1">Project_CF!AM21</f>
        <v>0</v>
      </c>
      <c r="AN10" s="27">
        <f ca="1">Project_CF!AN21</f>
        <v>0</v>
      </c>
      <c r="AO10" s="27">
        <f ca="1">Project_CF!AO21</f>
        <v>0</v>
      </c>
      <c r="AP10" s="27">
        <f ca="1">Project_CF!AP21</f>
        <v>0</v>
      </c>
      <c r="AQ10" s="27">
        <f ca="1">Project_CF!AQ21</f>
        <v>0</v>
      </c>
    </row>
    <row r="11" spans="1:43" ht="15" customHeight="1" x14ac:dyDescent="0.3">
      <c r="A11" s="3" t="s">
        <v>176</v>
      </c>
      <c r="D11" s="27">
        <f>Debt!D25</f>
        <v>0</v>
      </c>
      <c r="E11" s="27">
        <f>Debt!E25</f>
        <v>0</v>
      </c>
      <c r="F11" s="27">
        <f>Debt!F25</f>
        <v>0</v>
      </c>
      <c r="G11" s="27">
        <f ca="1">Debt!G25</f>
        <v>14.324469923076922</v>
      </c>
      <c r="H11" s="27">
        <f ca="1">Debt!H25</f>
        <v>14.610959321538461</v>
      </c>
      <c r="I11" s="27">
        <f ca="1">Debt!I25</f>
        <v>14.903178507969228</v>
      </c>
      <c r="J11" s="27">
        <f ca="1">Debt!J25</f>
        <v>15.20124207812861</v>
      </c>
      <c r="K11" s="27">
        <f ca="1">Debt!K25</f>
        <v>15.505266919691186</v>
      </c>
      <c r="L11" s="27">
        <f ca="1">Debt!L25</f>
        <v>15.815372258085006</v>
      </c>
      <c r="M11" s="27">
        <f ca="1">Debt!M25</f>
        <v>16.131679703246714</v>
      </c>
      <c r="N11" s="27">
        <f ca="1">Debt!N25</f>
        <v>16.454313297311643</v>
      </c>
      <c r="O11" s="27">
        <f ca="1">Debt!O25</f>
        <v>16.783399563257881</v>
      </c>
      <c r="P11" s="27">
        <f ca="1">Debt!P25</f>
        <v>17.119067554523035</v>
      </c>
      <c r="Q11" s="27">
        <f ca="1">Debt!Q25</f>
        <v>17.461448905613494</v>
      </c>
      <c r="R11" s="27">
        <f ca="1">Debt!R25</f>
        <v>17.810677883725763</v>
      </c>
      <c r="S11" s="27">
        <f ca="1">Debt!S25</f>
        <v>18.166891441400278</v>
      </c>
      <c r="T11" s="27">
        <f ca="1">Debt!T25</f>
        <v>18.530229270228283</v>
      </c>
      <c r="U11" s="27">
        <f ca="1">Debt!U25</f>
        <v>18.900833855631856</v>
      </c>
      <c r="V11" s="27">
        <f>Debt!V25</f>
        <v>0</v>
      </c>
      <c r="W11" s="27">
        <f>Debt!W25</f>
        <v>0</v>
      </c>
      <c r="X11" s="27">
        <f>Debt!X25</f>
        <v>0</v>
      </c>
      <c r="Y11" s="27">
        <f>Debt!Y25</f>
        <v>0</v>
      </c>
      <c r="Z11" s="27">
        <f>Debt!Z25</f>
        <v>0</v>
      </c>
      <c r="AA11" s="27">
        <f>Debt!AA25</f>
        <v>0</v>
      </c>
      <c r="AB11" s="27">
        <f>Debt!AB25</f>
        <v>0</v>
      </c>
      <c r="AC11" s="27">
        <f>Debt!AC25</f>
        <v>0</v>
      </c>
      <c r="AD11" s="27">
        <f>Debt!AD25</f>
        <v>0</v>
      </c>
      <c r="AE11" s="27">
        <f>Debt!AE25</f>
        <v>0</v>
      </c>
      <c r="AF11" s="27">
        <f>Debt!AF25</f>
        <v>0</v>
      </c>
      <c r="AG11" s="27">
        <f>Debt!AG25</f>
        <v>0</v>
      </c>
      <c r="AH11" s="27">
        <f>Debt!AH25</f>
        <v>0</v>
      </c>
      <c r="AI11" s="27">
        <f>Debt!AI25</f>
        <v>0</v>
      </c>
      <c r="AJ11" s="27">
        <f>Debt!AJ25</f>
        <v>0</v>
      </c>
      <c r="AK11" s="27">
        <f>Debt!AK25</f>
        <v>0</v>
      </c>
      <c r="AL11" s="27">
        <f>Debt!AL25</f>
        <v>0</v>
      </c>
      <c r="AM11" s="27">
        <f>Debt!AM25</f>
        <v>0</v>
      </c>
      <c r="AN11" s="27">
        <f>Debt!AN25</f>
        <v>0</v>
      </c>
      <c r="AO11" s="27">
        <f>Debt!AO25</f>
        <v>0</v>
      </c>
      <c r="AP11" s="27">
        <f>Debt!AP25</f>
        <v>0</v>
      </c>
      <c r="AQ11" s="27">
        <f>Debt!AQ25</f>
        <v>0</v>
      </c>
    </row>
    <row r="12" spans="1:43" ht="15" customHeight="1" x14ac:dyDescent="0.3">
      <c r="A12" s="3" t="s">
        <v>177</v>
      </c>
      <c r="D12" s="26">
        <f t="shared" ref="D12:AQ12" si="0">IF(D6&lt;&gt;"",D10-D11,0)</f>
        <v>0</v>
      </c>
      <c r="E12" s="26">
        <f t="shared" si="0"/>
        <v>0</v>
      </c>
      <c r="F12" s="26">
        <f t="shared" si="0"/>
        <v>0</v>
      </c>
      <c r="G12" s="26">
        <f t="shared" ca="1" si="0"/>
        <v>4.2973409769230777</v>
      </c>
      <c r="H12" s="26">
        <f t="shared" ca="1" si="0"/>
        <v>4.3832877964615395</v>
      </c>
      <c r="I12" s="26">
        <f t="shared" ca="1" si="0"/>
        <v>4.4709535523907693</v>
      </c>
      <c r="J12" s="26">
        <f t="shared" ca="1" si="0"/>
        <v>4.5603726234385835</v>
      </c>
      <c r="K12" s="26">
        <f t="shared" ca="1" si="0"/>
        <v>4.651580075907356</v>
      </c>
      <c r="L12" s="26">
        <f t="shared" ca="1" si="0"/>
        <v>4.7446116774255032</v>
      </c>
      <c r="M12" s="26">
        <f t="shared" ca="1" si="0"/>
        <v>4.8395039109740168</v>
      </c>
      <c r="N12" s="26">
        <f t="shared" ca="1" si="0"/>
        <v>4.9362939891934943</v>
      </c>
      <c r="O12" s="26">
        <f t="shared" ca="1" si="0"/>
        <v>5.0350198689773649</v>
      </c>
      <c r="P12" s="26">
        <f t="shared" ca="1" si="0"/>
        <v>5.135720266356909</v>
      </c>
      <c r="Q12" s="26">
        <f t="shared" ca="1" si="0"/>
        <v>5.2384346716840504</v>
      </c>
      <c r="R12" s="26">
        <f t="shared" ca="1" si="0"/>
        <v>5.3432033651177306</v>
      </c>
      <c r="S12" s="26">
        <f t="shared" ca="1" si="0"/>
        <v>5.4500674324200844</v>
      </c>
      <c r="T12" s="26">
        <f t="shared" ca="1" si="0"/>
        <v>5.5590687810684862</v>
      </c>
      <c r="U12" s="26">
        <f t="shared" ca="1" si="0"/>
        <v>5.6702501566908516</v>
      </c>
      <c r="V12" s="26">
        <f t="shared" ca="1" si="0"/>
        <v>25.062505692569161</v>
      </c>
      <c r="W12" s="26">
        <f t="shared" ca="1" si="0"/>
        <v>25.563755806420545</v>
      </c>
      <c r="X12" s="26">
        <f t="shared" ca="1" si="0"/>
        <v>22.96989604536272</v>
      </c>
      <c r="Y12" s="26">
        <f t="shared" ca="1" si="0"/>
        <v>23.345170006680888</v>
      </c>
      <c r="Z12" s="26">
        <f t="shared" ca="1" si="0"/>
        <v>23.75762340681451</v>
      </c>
      <c r="AA12" s="26">
        <f t="shared" ca="1" si="0"/>
        <v>21.455825874950801</v>
      </c>
      <c r="AB12" s="26">
        <f t="shared" ca="1" si="0"/>
        <v>21.884942392449815</v>
      </c>
      <c r="AC12" s="26">
        <f t="shared" ca="1" si="0"/>
        <v>22.322641240298807</v>
      </c>
      <c r="AD12" s="26">
        <f t="shared" ca="1" si="0"/>
        <v>22.769094065104781</v>
      </c>
      <c r="AE12" s="26">
        <f t="shared" ca="1" si="0"/>
        <v>23.22447594640688</v>
      </c>
      <c r="AF12" s="26">
        <f t="shared" ca="1" si="0"/>
        <v>23.688965465335016</v>
      </c>
      <c r="AG12" s="26">
        <f t="shared" ca="1" si="0"/>
        <v>24.16274477464172</v>
      </c>
      <c r="AH12" s="26">
        <f t="shared" ca="1" si="0"/>
        <v>24.64599967013455</v>
      </c>
      <c r="AI12" s="26">
        <f t="shared" ca="1" si="0"/>
        <v>25.138919663537251</v>
      </c>
      <c r="AJ12" s="26">
        <f t="shared" ca="1" si="0"/>
        <v>25.641698056807993</v>
      </c>
      <c r="AK12" s="26">
        <f t="shared" si="0"/>
        <v>0</v>
      </c>
      <c r="AL12" s="26">
        <f t="shared" si="0"/>
        <v>0</v>
      </c>
      <c r="AM12" s="26">
        <f t="shared" si="0"/>
        <v>0</v>
      </c>
      <c r="AN12" s="26">
        <f t="shared" si="0"/>
        <v>0</v>
      </c>
      <c r="AO12" s="26">
        <f t="shared" si="0"/>
        <v>0</v>
      </c>
      <c r="AP12" s="26">
        <f t="shared" si="0"/>
        <v>0</v>
      </c>
      <c r="AQ12" s="26">
        <f t="shared" si="0"/>
        <v>0</v>
      </c>
    </row>
    <row r="13" spans="1:43" ht="15" customHeight="1" x14ac:dyDescent="0.3">
      <c r="A13" s="6" t="s">
        <v>178</v>
      </c>
      <c r="D13" s="12">
        <f t="shared" ref="D13:AQ13" ca="1" si="1">-D9+D12</f>
        <v>-44.823320754683571</v>
      </c>
      <c r="E13" s="12">
        <f t="shared" ca="1" si="1"/>
        <v>-61.444479417161958</v>
      </c>
      <c r="F13" s="12">
        <f t="shared" ca="1" si="1"/>
        <v>-35.234141982360867</v>
      </c>
      <c r="G13" s="12">
        <f t="shared" ca="1" si="1"/>
        <v>4.2973409769230777</v>
      </c>
      <c r="H13" s="12">
        <f t="shared" ca="1" si="1"/>
        <v>4.3832877964615395</v>
      </c>
      <c r="I13" s="12">
        <f t="shared" ca="1" si="1"/>
        <v>4.4709535523907693</v>
      </c>
      <c r="J13" s="12">
        <f t="shared" ca="1" si="1"/>
        <v>4.5603726234385835</v>
      </c>
      <c r="K13" s="12">
        <f t="shared" ca="1" si="1"/>
        <v>4.651580075907356</v>
      </c>
      <c r="L13" s="12">
        <f t="shared" ca="1" si="1"/>
        <v>4.7446116774255032</v>
      </c>
      <c r="M13" s="12">
        <f t="shared" ca="1" si="1"/>
        <v>4.8395039109740168</v>
      </c>
      <c r="N13" s="12">
        <f t="shared" ca="1" si="1"/>
        <v>4.9362939891934943</v>
      </c>
      <c r="O13" s="12">
        <f t="shared" ca="1" si="1"/>
        <v>5.0350198689773649</v>
      </c>
      <c r="P13" s="12">
        <f t="shared" ca="1" si="1"/>
        <v>5.135720266356909</v>
      </c>
      <c r="Q13" s="12">
        <f t="shared" ca="1" si="1"/>
        <v>5.2384346716840504</v>
      </c>
      <c r="R13" s="12">
        <f t="shared" ca="1" si="1"/>
        <v>5.3432033651177306</v>
      </c>
      <c r="S13" s="12">
        <f t="shared" ca="1" si="1"/>
        <v>5.4500674324200844</v>
      </c>
      <c r="T13" s="12">
        <f t="shared" ca="1" si="1"/>
        <v>5.5590687810684862</v>
      </c>
      <c r="U13" s="12">
        <f t="shared" ca="1" si="1"/>
        <v>5.6702501566908516</v>
      </c>
      <c r="V13" s="12">
        <f t="shared" ca="1" si="1"/>
        <v>25.062505692569161</v>
      </c>
      <c r="W13" s="12">
        <f t="shared" ca="1" si="1"/>
        <v>25.563755806420545</v>
      </c>
      <c r="X13" s="12">
        <f t="shared" ca="1" si="1"/>
        <v>22.96989604536272</v>
      </c>
      <c r="Y13" s="12">
        <f t="shared" ca="1" si="1"/>
        <v>23.345170006680888</v>
      </c>
      <c r="Z13" s="12">
        <f t="shared" ca="1" si="1"/>
        <v>23.75762340681451</v>
      </c>
      <c r="AA13" s="12">
        <f t="shared" ca="1" si="1"/>
        <v>21.455825874950801</v>
      </c>
      <c r="AB13" s="12">
        <f t="shared" ca="1" si="1"/>
        <v>21.884942392449815</v>
      </c>
      <c r="AC13" s="12">
        <f t="shared" ca="1" si="1"/>
        <v>22.322641240298807</v>
      </c>
      <c r="AD13" s="12">
        <f t="shared" ca="1" si="1"/>
        <v>22.769094065104781</v>
      </c>
      <c r="AE13" s="12">
        <f t="shared" ca="1" si="1"/>
        <v>23.22447594640688</v>
      </c>
      <c r="AF13" s="12">
        <f t="shared" ca="1" si="1"/>
        <v>23.688965465335016</v>
      </c>
      <c r="AG13" s="12">
        <f t="shared" ca="1" si="1"/>
        <v>24.16274477464172</v>
      </c>
      <c r="AH13" s="12">
        <f t="shared" ca="1" si="1"/>
        <v>24.64599967013455</v>
      </c>
      <c r="AI13" s="12">
        <f t="shared" ca="1" si="1"/>
        <v>25.138919663537251</v>
      </c>
      <c r="AJ13" s="12">
        <f t="shared" ca="1" si="1"/>
        <v>25.641698056807993</v>
      </c>
      <c r="AK13" s="12">
        <f t="shared" ca="1" si="1"/>
        <v>0</v>
      </c>
      <c r="AL13" s="12">
        <f t="shared" ca="1" si="1"/>
        <v>0</v>
      </c>
      <c r="AM13" s="12">
        <f t="shared" ca="1" si="1"/>
        <v>0</v>
      </c>
      <c r="AN13" s="12">
        <f t="shared" ca="1" si="1"/>
        <v>0</v>
      </c>
      <c r="AO13" s="12">
        <f t="shared" ca="1" si="1"/>
        <v>0</v>
      </c>
      <c r="AP13" s="12">
        <f t="shared" ca="1" si="1"/>
        <v>0</v>
      </c>
      <c r="AQ13" s="12">
        <f t="shared" ca="1" si="1"/>
        <v>0</v>
      </c>
    </row>
    <row r="14" spans="1:43" ht="15" customHeight="1" x14ac:dyDescent="0.3">
      <c r="A14" s="3" t="s">
        <v>179</v>
      </c>
      <c r="D14" s="26">
        <f ca="1">D13</f>
        <v>-44.823320754683571</v>
      </c>
      <c r="E14" s="26">
        <f t="shared" ref="E14:AQ14" ca="1" si="2">D14+E13</f>
        <v>-106.26780017184552</v>
      </c>
      <c r="F14" s="26">
        <f t="shared" ca="1" si="2"/>
        <v>-141.5019421542064</v>
      </c>
      <c r="G14" s="26">
        <f t="shared" ca="1" si="2"/>
        <v>-137.20460117728334</v>
      </c>
      <c r="H14" s="26">
        <f t="shared" ca="1" si="2"/>
        <v>-132.82131338082181</v>
      </c>
      <c r="I14" s="26">
        <f t="shared" ca="1" si="2"/>
        <v>-128.35035982843104</v>
      </c>
      <c r="J14" s="26">
        <f t="shared" ca="1" si="2"/>
        <v>-123.78998720499246</v>
      </c>
      <c r="K14" s="26">
        <f t="shared" ca="1" si="2"/>
        <v>-119.1384071290851</v>
      </c>
      <c r="L14" s="26">
        <f t="shared" ca="1" si="2"/>
        <v>-114.3937954516596</v>
      </c>
      <c r="M14" s="26">
        <f t="shared" ca="1" si="2"/>
        <v>-109.55429154068558</v>
      </c>
      <c r="N14" s="26">
        <f t="shared" ca="1" si="2"/>
        <v>-104.6179975514921</v>
      </c>
      <c r="O14" s="26">
        <f t="shared" ca="1" si="2"/>
        <v>-99.582977682514723</v>
      </c>
      <c r="P14" s="26">
        <f t="shared" ca="1" si="2"/>
        <v>-94.447257416157811</v>
      </c>
      <c r="Q14" s="26">
        <f t="shared" ca="1" si="2"/>
        <v>-89.208822744473764</v>
      </c>
      <c r="R14" s="26">
        <f t="shared" ca="1" si="2"/>
        <v>-83.865619379356033</v>
      </c>
      <c r="S14" s="26">
        <f t="shared" ca="1" si="2"/>
        <v>-78.415551946935949</v>
      </c>
      <c r="T14" s="26">
        <f t="shared" ca="1" si="2"/>
        <v>-72.856483165867459</v>
      </c>
      <c r="U14" s="26">
        <f t="shared" ca="1" si="2"/>
        <v>-67.186233009176604</v>
      </c>
      <c r="V14" s="26">
        <f t="shared" ca="1" si="2"/>
        <v>-42.123727316607443</v>
      </c>
      <c r="W14" s="26">
        <f t="shared" ca="1" si="2"/>
        <v>-16.559971510186898</v>
      </c>
      <c r="X14" s="26">
        <f t="shared" ca="1" si="2"/>
        <v>6.4099245351758221</v>
      </c>
      <c r="Y14" s="26">
        <f t="shared" ca="1" si="2"/>
        <v>29.75509454185671</v>
      </c>
      <c r="Z14" s="26">
        <f t="shared" ca="1" si="2"/>
        <v>53.512717948671224</v>
      </c>
      <c r="AA14" s="26">
        <f t="shared" ca="1" si="2"/>
        <v>74.968543823622028</v>
      </c>
      <c r="AB14" s="26">
        <f t="shared" ca="1" si="2"/>
        <v>96.853486216071843</v>
      </c>
      <c r="AC14" s="26">
        <f t="shared" ca="1" si="2"/>
        <v>119.17612745637065</v>
      </c>
      <c r="AD14" s="26">
        <f t="shared" ca="1" si="2"/>
        <v>141.94522152147545</v>
      </c>
      <c r="AE14" s="26">
        <f t="shared" ca="1" si="2"/>
        <v>165.16969746788232</v>
      </c>
      <c r="AF14" s="26">
        <f t="shared" ca="1" si="2"/>
        <v>188.85866293321732</v>
      </c>
      <c r="AG14" s="26">
        <f t="shared" ca="1" si="2"/>
        <v>213.02140770785903</v>
      </c>
      <c r="AH14" s="26">
        <f t="shared" ca="1" si="2"/>
        <v>237.66740737799358</v>
      </c>
      <c r="AI14" s="26">
        <f t="shared" ca="1" si="2"/>
        <v>262.80632704153084</v>
      </c>
      <c r="AJ14" s="26">
        <f t="shared" ca="1" si="2"/>
        <v>288.4480250983388</v>
      </c>
      <c r="AK14" s="26">
        <f t="shared" ca="1" si="2"/>
        <v>288.4480250983388</v>
      </c>
      <c r="AL14" s="26">
        <f t="shared" ca="1" si="2"/>
        <v>288.4480250983388</v>
      </c>
      <c r="AM14" s="26">
        <f t="shared" ca="1" si="2"/>
        <v>288.4480250983388</v>
      </c>
      <c r="AN14" s="26">
        <f t="shared" ca="1" si="2"/>
        <v>288.4480250983388</v>
      </c>
      <c r="AO14" s="26">
        <f t="shared" ca="1" si="2"/>
        <v>288.4480250983388</v>
      </c>
      <c r="AP14" s="26">
        <f t="shared" ca="1" si="2"/>
        <v>288.4480250983388</v>
      </c>
      <c r="AQ14" s="26">
        <f t="shared" ca="1" si="2"/>
        <v>288.4480250983388</v>
      </c>
    </row>
    <row r="16" spans="1:43" ht="18" customHeight="1" x14ac:dyDescent="0.3">
      <c r="A16" s="51" t="s">
        <v>180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</row>
    <row r="17" spans="1:43" ht="15" customHeight="1" x14ac:dyDescent="0.3">
      <c r="A17" s="6" t="s">
        <v>149</v>
      </c>
      <c r="D17" s="27">
        <f>Project_CF!D26</f>
        <v>-92.890025000000009</v>
      </c>
      <c r="E17" s="27">
        <f>Project_CF!E26</f>
        <v>-127.3350375</v>
      </c>
      <c r="F17" s="27">
        <f>Project_CF!F26</f>
        <v>-70.741687499999998</v>
      </c>
      <c r="G17" s="27">
        <f>Project_CF!G26</f>
        <v>18.6218109</v>
      </c>
      <c r="H17" s="27">
        <f>Project_CF!H26</f>
        <v>18.994247118000001</v>
      </c>
      <c r="I17" s="27">
        <f>Project_CF!I26</f>
        <v>19.374132060359997</v>
      </c>
      <c r="J17" s="27">
        <f>Project_CF!J26</f>
        <v>19.761614701567193</v>
      </c>
      <c r="K17" s="27">
        <f>Project_CF!K26</f>
        <v>20.156846995598542</v>
      </c>
      <c r="L17" s="27">
        <f>Project_CF!L26</f>
        <v>20.559983935510509</v>
      </c>
      <c r="M17" s="27">
        <f>Project_CF!M26</f>
        <v>20.971183614220731</v>
      </c>
      <c r="N17" s="27">
        <f>Project_CF!N26</f>
        <v>21.390607286505137</v>
      </c>
      <c r="O17" s="27">
        <f>Project_CF!O26</f>
        <v>21.818419432235245</v>
      </c>
      <c r="P17" s="27">
        <f>Project_CF!P26</f>
        <v>20.015880802665485</v>
      </c>
      <c r="Q17" s="27">
        <f>Project_CF!Q26</f>
        <v>20.323750278933254</v>
      </c>
      <c r="R17" s="27">
        <f>Project_CF!R26</f>
        <v>20.675775284511918</v>
      </c>
      <c r="S17" s="27">
        <f>Project_CF!S26</f>
        <v>21.034840790202157</v>
      </c>
      <c r="T17" s="27">
        <f>Project_CF!T26</f>
        <v>21.4010876060062</v>
      </c>
      <c r="U17" s="27">
        <f>Project_CF!U26</f>
        <v>21.774659358126325</v>
      </c>
      <c r="V17" s="27">
        <f>Project_CF!V26</f>
        <v>22.15570254528885</v>
      </c>
      <c r="W17" s="27">
        <f>Project_CF!W26</f>
        <v>22.544366596194628</v>
      </c>
      <c r="X17" s="27">
        <f>Project_CF!X26</f>
        <v>22.94080392811852</v>
      </c>
      <c r="Y17" s="27">
        <f>Project_CF!Y26</f>
        <v>23.345170006680888</v>
      </c>
      <c r="Z17" s="27">
        <f>Project_CF!Z26</f>
        <v>23.75762340681451</v>
      </c>
      <c r="AA17" s="27">
        <f>Project_CF!AA26</f>
        <v>21.455825874950801</v>
      </c>
      <c r="AB17" s="27">
        <f>Project_CF!AB26</f>
        <v>21.884942392449815</v>
      </c>
      <c r="AC17" s="27">
        <f>Project_CF!AC26</f>
        <v>22.322641240298807</v>
      </c>
      <c r="AD17" s="27">
        <f>Project_CF!AD26</f>
        <v>22.769094065104781</v>
      </c>
      <c r="AE17" s="27">
        <f>Project_CF!AE26</f>
        <v>23.22447594640688</v>
      </c>
      <c r="AF17" s="27">
        <f>Project_CF!AF26</f>
        <v>23.688965465335016</v>
      </c>
      <c r="AG17" s="27">
        <f>Project_CF!AG26</f>
        <v>24.16274477464172</v>
      </c>
      <c r="AH17" s="27">
        <f>Project_CF!AH26</f>
        <v>24.64599967013455</v>
      </c>
      <c r="AI17" s="27">
        <f>Project_CF!AI26</f>
        <v>25.138919663537251</v>
      </c>
      <c r="AJ17" s="27">
        <f>Project_CF!AJ26</f>
        <v>25.641698056807993</v>
      </c>
      <c r="AK17" s="27">
        <f>Project_CF!AK26</f>
        <v>0</v>
      </c>
      <c r="AL17" s="27">
        <f>Project_CF!AL26</f>
        <v>0</v>
      </c>
      <c r="AM17" s="27">
        <f>Project_CF!AM26</f>
        <v>0</v>
      </c>
      <c r="AN17" s="27">
        <f>Project_CF!AN26</f>
        <v>0</v>
      </c>
      <c r="AO17" s="27">
        <f>Project_CF!AO26</f>
        <v>0</v>
      </c>
      <c r="AP17" s="27">
        <f>Project_CF!AP26</f>
        <v>0</v>
      </c>
      <c r="AQ17" s="27">
        <f>Project_CF!AQ26</f>
        <v>0</v>
      </c>
    </row>
    <row r="19" spans="1:43" ht="18" customHeight="1" x14ac:dyDescent="0.3">
      <c r="A19" s="51" t="s">
        <v>181</v>
      </c>
      <c r="B19" s="51"/>
      <c r="C19" s="51"/>
    </row>
    <row r="20" spans="1:43" ht="15" customHeight="1" x14ac:dyDescent="0.3">
      <c r="A20" s="6" t="s">
        <v>182</v>
      </c>
      <c r="C20" s="39">
        <f ca="1">IRR(D13:AQ13,0.12)</f>
        <v>5.6970658078764336E-2</v>
      </c>
    </row>
    <row r="21" spans="1:43" ht="15" customHeight="1" x14ac:dyDescent="0.3">
      <c r="A21" s="3" t="s">
        <v>183</v>
      </c>
      <c r="C21" s="26">
        <f ca="1">D13+NPV(Assumptions!$B$61,E13:AQ13)</f>
        <v>-87.77279875410531</v>
      </c>
    </row>
    <row r="22" spans="1:43" ht="15" customHeight="1" x14ac:dyDescent="0.3">
      <c r="A22" s="6" t="s">
        <v>184</v>
      </c>
      <c r="C22" s="40">
        <f>IRR(D17:AQ17,0.1)</f>
        <v>5.4760763400202528E-2</v>
      </c>
    </row>
    <row r="23" spans="1:43" ht="15" customHeight="1" x14ac:dyDescent="0.3">
      <c r="A23" s="3" t="s">
        <v>185</v>
      </c>
      <c r="C23" s="26">
        <f>D17+NPV(Assumptions!$B$62,E17:AQ17)</f>
        <v>-105.91396951699578</v>
      </c>
    </row>
    <row r="25" spans="1:43" ht="18" customHeight="1" x14ac:dyDescent="0.3">
      <c r="A25" s="51" t="s">
        <v>186</v>
      </c>
      <c r="B25" s="51"/>
      <c r="C25" s="51"/>
    </row>
    <row r="26" spans="1:43" ht="15" customHeight="1" x14ac:dyDescent="0.3">
      <c r="A26" s="3" t="s">
        <v>187</v>
      </c>
      <c r="C26" s="27">
        <f ca="1">Debt!$C$19</f>
        <v>151.74092167085647</v>
      </c>
    </row>
    <row r="27" spans="1:43" ht="15" customHeight="1" x14ac:dyDescent="0.3">
      <c r="A27" s="3" t="s">
        <v>188</v>
      </c>
      <c r="C27" s="27">
        <f ca="1">CAPEX_SU!$C$33</f>
        <v>141.50194215420638</v>
      </c>
    </row>
    <row r="28" spans="1:43" ht="15" customHeight="1" x14ac:dyDescent="0.3">
      <c r="A28" s="3" t="s">
        <v>189</v>
      </c>
      <c r="C28" s="35">
        <f ca="1">CAPEX_SU!$C$32</f>
        <v>0.51745819042805119</v>
      </c>
    </row>
    <row r="29" spans="1:43" ht="15" customHeight="1" x14ac:dyDescent="0.3">
      <c r="A29" s="3" t="s">
        <v>169</v>
      </c>
      <c r="C29" s="34">
        <f ca="1">Debt!$C$31</f>
        <v>1.2999999999999998</v>
      </c>
    </row>
    <row r="30" spans="1:43" ht="15" customHeight="1" x14ac:dyDescent="0.3">
      <c r="A30" s="3" t="s">
        <v>170</v>
      </c>
      <c r="C30" s="34">
        <f ca="1">Debt!$C$32</f>
        <v>1.3000000000000047</v>
      </c>
    </row>
  </sheetData>
  <mergeCells count="4">
    <mergeCell ref="A8:AQ8"/>
    <mergeCell ref="A16:AQ16"/>
    <mergeCell ref="A19:C19"/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K39"/>
  <sheetViews>
    <sheetView showGridLines="0" topLeftCell="A10" zoomScaleNormal="100" workbookViewId="0">
      <selection activeCell="E26" sqref="E26"/>
    </sheetView>
  </sheetViews>
  <sheetFormatPr defaultColWidth="8.6640625" defaultRowHeight="14.4" x14ac:dyDescent="0.3"/>
  <cols>
    <col min="1" max="1" width="30" customWidth="1"/>
    <col min="2" max="2" width="4" customWidth="1"/>
    <col min="3" max="3" width="14" customWidth="1"/>
    <col min="4" max="4" width="3" customWidth="1"/>
    <col min="5" max="5" width="30" customWidth="1"/>
    <col min="6" max="6" width="4" customWidth="1"/>
    <col min="7" max="7" width="14" customWidth="1"/>
  </cols>
  <sheetData>
    <row r="1" spans="1:11" ht="19.5" customHeight="1" x14ac:dyDescent="0.4">
      <c r="A1" s="1" t="s">
        <v>190</v>
      </c>
    </row>
    <row r="2" spans="1:11" ht="15" customHeight="1" x14ac:dyDescent="0.3">
      <c r="A2" s="2" t="s">
        <v>191</v>
      </c>
    </row>
    <row r="4" spans="1:11" ht="15" customHeight="1" x14ac:dyDescent="0.3">
      <c r="A4" s="54">
        <f ca="1">Equity!C20</f>
        <v>5.6970658078764336E-2</v>
      </c>
      <c r="B4" s="54"/>
      <c r="C4" s="54"/>
      <c r="D4" s="54">
        <f>Equity!C22</f>
        <v>5.4760763400202528E-2</v>
      </c>
      <c r="E4" s="54"/>
      <c r="F4" s="55">
        <f ca="1">Debt!C19</f>
        <v>151.74092167085647</v>
      </c>
      <c r="G4" s="55"/>
      <c r="H4" s="55">
        <f ca="1">CAPEX_SU!C33</f>
        <v>141.50194215420638</v>
      </c>
      <c r="I4" s="55"/>
      <c r="J4" s="56">
        <f ca="1">CAPEX_SU!C32</f>
        <v>0.51745819042805119</v>
      </c>
      <c r="K4" s="56"/>
    </row>
    <row r="5" spans="1:11" ht="15" customHeight="1" x14ac:dyDescent="0.3">
      <c r="A5" s="54"/>
      <c r="B5" s="54"/>
      <c r="C5" s="54"/>
      <c r="D5" s="54"/>
      <c r="E5" s="54"/>
      <c r="F5" s="55"/>
      <c r="G5" s="55"/>
      <c r="H5" s="55"/>
      <c r="I5" s="55"/>
      <c r="J5" s="56"/>
      <c r="K5" s="56"/>
    </row>
    <row r="6" spans="1:11" ht="15" customHeight="1" x14ac:dyDescent="0.3">
      <c r="A6" s="54"/>
      <c r="B6" s="54"/>
      <c r="C6" s="54"/>
      <c r="D6" s="54"/>
      <c r="E6" s="54"/>
      <c r="F6" s="55"/>
      <c r="G6" s="55"/>
      <c r="H6" s="55"/>
      <c r="I6" s="55"/>
      <c r="J6" s="56"/>
      <c r="K6" s="56"/>
    </row>
    <row r="7" spans="1:11" ht="15" customHeight="1" x14ac:dyDescent="0.3">
      <c r="A7" s="54"/>
      <c r="B7" s="54"/>
      <c r="C7" s="54"/>
      <c r="D7" s="54"/>
      <c r="E7" s="54"/>
      <c r="F7" s="55"/>
      <c r="G7" s="55"/>
      <c r="H7" s="55"/>
      <c r="I7" s="55"/>
      <c r="J7" s="56"/>
      <c r="K7" s="56"/>
    </row>
    <row r="8" spans="1:11" ht="15" customHeight="1" x14ac:dyDescent="0.3">
      <c r="A8" s="53" t="s">
        <v>192</v>
      </c>
      <c r="B8" s="53"/>
      <c r="C8" s="53"/>
      <c r="D8" s="53" t="s">
        <v>193</v>
      </c>
      <c r="E8" s="53"/>
      <c r="F8" s="53" t="s">
        <v>194</v>
      </c>
      <c r="G8" s="53"/>
      <c r="H8" s="53" t="s">
        <v>195</v>
      </c>
      <c r="I8" s="53"/>
      <c r="J8" s="53" t="s">
        <v>196</v>
      </c>
      <c r="K8" s="53"/>
    </row>
    <row r="11" spans="1:11" ht="18" customHeight="1" x14ac:dyDescent="0.3">
      <c r="A11" s="51" t="s">
        <v>197</v>
      </c>
      <c r="B11" s="51"/>
      <c r="C11" s="51"/>
      <c r="E11" s="51" t="s">
        <v>198</v>
      </c>
      <c r="F11" s="51"/>
      <c r="G11" s="51"/>
    </row>
    <row r="12" spans="1:11" ht="15" customHeight="1" x14ac:dyDescent="0.3">
      <c r="A12" s="3" t="s">
        <v>11</v>
      </c>
      <c r="C12" s="41">
        <f>Assumptions!$B$13</f>
        <v>55</v>
      </c>
      <c r="E12" s="3" t="s">
        <v>199</v>
      </c>
      <c r="G12" s="42">
        <f>Assumptions!$B$46</f>
        <v>0.06</v>
      </c>
    </row>
    <row r="13" spans="1:11" ht="15" customHeight="1" x14ac:dyDescent="0.3">
      <c r="A13" s="3" t="s">
        <v>200</v>
      </c>
      <c r="C13" s="43">
        <f>Assumptions!$B$14</f>
        <v>0.9</v>
      </c>
      <c r="E13" s="3" t="s">
        <v>43</v>
      </c>
      <c r="G13" s="43">
        <f>Assumptions!$B$47</f>
        <v>0.02</v>
      </c>
    </row>
    <row r="14" spans="1:11" ht="15" customHeight="1" x14ac:dyDescent="0.3">
      <c r="A14" s="3" t="s">
        <v>13</v>
      </c>
      <c r="C14" s="41">
        <f>Assumptions!$B$15</f>
        <v>433.62</v>
      </c>
      <c r="E14" s="3" t="s">
        <v>44</v>
      </c>
      <c r="G14" s="44" t="str">
        <f>Assumptions!$B$48</f>
        <v>Escalated</v>
      </c>
    </row>
    <row r="15" spans="1:11" ht="15" customHeight="1" x14ac:dyDescent="0.3">
      <c r="A15" s="3" t="s">
        <v>201</v>
      </c>
      <c r="C15" s="45">
        <f>Assumptions!$B$7</f>
        <v>47484</v>
      </c>
      <c r="E15" s="3" t="s">
        <v>8</v>
      </c>
      <c r="G15" s="46">
        <f>Assumptions!$B$9</f>
        <v>30</v>
      </c>
    </row>
    <row r="16" spans="1:11" ht="15" customHeight="1" x14ac:dyDescent="0.3">
      <c r="A16" s="3" t="s">
        <v>5</v>
      </c>
      <c r="C16" s="46">
        <f>Assumptions!$B$6</f>
        <v>3</v>
      </c>
      <c r="E16" s="3" t="s">
        <v>202</v>
      </c>
      <c r="G16" s="47">
        <f>Revenue_OPEX!G12</f>
        <v>26.017199999999999</v>
      </c>
    </row>
    <row r="17" spans="1:7" ht="15" customHeight="1" x14ac:dyDescent="0.3">
      <c r="A17" s="3" t="s">
        <v>7</v>
      </c>
      <c r="C17" s="46">
        <f>Assumptions!$B$8</f>
        <v>30</v>
      </c>
      <c r="E17" s="3" t="s">
        <v>203</v>
      </c>
      <c r="G17" s="47">
        <f>Revenue_OPEX!G19</f>
        <v>19.012068899999999</v>
      </c>
    </row>
    <row r="18" spans="1:7" ht="15" customHeight="1" x14ac:dyDescent="0.3">
      <c r="A18" s="3" t="s">
        <v>8</v>
      </c>
      <c r="C18" s="46">
        <f>Assumptions!$B$9</f>
        <v>30</v>
      </c>
      <c r="E18" s="3" t="s">
        <v>39</v>
      </c>
      <c r="G18" s="44" t="str">
        <f>Assumptions!$B$43</f>
        <v>Holiday + Allowance</v>
      </c>
    </row>
    <row r="20" spans="1:7" ht="18" customHeight="1" x14ac:dyDescent="0.3">
      <c r="A20" s="51" t="s">
        <v>73</v>
      </c>
      <c r="B20" s="51"/>
      <c r="C20" s="51"/>
      <c r="E20" s="51" t="s">
        <v>204</v>
      </c>
      <c r="F20" s="51"/>
      <c r="G20" s="51"/>
    </row>
    <row r="21" spans="1:7" ht="15" customHeight="1" x14ac:dyDescent="0.3">
      <c r="A21" s="3" t="s">
        <v>17</v>
      </c>
      <c r="C21" s="47">
        <f>Assumptions!$B$19</f>
        <v>247.5</v>
      </c>
      <c r="E21" s="3" t="s">
        <v>158</v>
      </c>
      <c r="G21" s="48">
        <f>Assumptions!$B$58</f>
        <v>1.3</v>
      </c>
    </row>
    <row r="22" spans="1:7" ht="15" customHeight="1" x14ac:dyDescent="0.3">
      <c r="A22" s="3" t="s">
        <v>205</v>
      </c>
      <c r="C22" s="47">
        <f>CAPEX_SU!C26</f>
        <v>28.04175</v>
      </c>
      <c r="E22" s="3" t="s">
        <v>159</v>
      </c>
      <c r="G22" s="43">
        <f>Assumptions!$B$59</f>
        <v>6.5000000000000002E-2</v>
      </c>
    </row>
    <row r="23" spans="1:7" ht="15" customHeight="1" x14ac:dyDescent="0.3">
      <c r="A23" s="3" t="s">
        <v>206</v>
      </c>
      <c r="C23" s="47">
        <f>CAPEX_SU!C25</f>
        <v>7.4250000000000007</v>
      </c>
      <c r="E23" s="3" t="s">
        <v>55</v>
      </c>
      <c r="G23" s="46">
        <f>Assumptions!$B$60</f>
        <v>15</v>
      </c>
    </row>
    <row r="24" spans="1:7" ht="15" customHeight="1" x14ac:dyDescent="0.3">
      <c r="A24" s="3" t="s">
        <v>18</v>
      </c>
      <c r="C24" s="47">
        <f>CAPEX_SU!C27</f>
        <v>8</v>
      </c>
      <c r="E24" s="6" t="s">
        <v>187</v>
      </c>
      <c r="G24" s="49">
        <f ca="1">Debt!C19</f>
        <v>151.74092167085647</v>
      </c>
    </row>
    <row r="25" spans="1:7" ht="15" customHeight="1" x14ac:dyDescent="0.3">
      <c r="A25" s="3" t="s">
        <v>207</v>
      </c>
      <c r="C25" s="47">
        <f ca="1">CAPEX_SU!C28</f>
        <v>2.276113825062847</v>
      </c>
      <c r="E25" s="3" t="s">
        <v>208</v>
      </c>
      <c r="G25" s="43">
        <f ca="1">CAPEX_SU!C32</f>
        <v>0.51745819042805119</v>
      </c>
    </row>
    <row r="26" spans="1:7" ht="15" customHeight="1" x14ac:dyDescent="0.3">
      <c r="A26" s="6" t="s">
        <v>209</v>
      </c>
      <c r="C26" s="49">
        <f ca="1">CAPEX_SU!C29</f>
        <v>293.24286382506284</v>
      </c>
      <c r="E26" s="6" t="s">
        <v>188</v>
      </c>
      <c r="G26" s="49">
        <f ca="1">CAPEX_SU!C33</f>
        <v>141.50194215420638</v>
      </c>
    </row>
    <row r="27" spans="1:7" ht="15" customHeight="1" x14ac:dyDescent="0.3">
      <c r="E27" s="3" t="s">
        <v>210</v>
      </c>
      <c r="G27" s="48">
        <f ca="1">Debt!C31</f>
        <v>1.2999999999999998</v>
      </c>
    </row>
    <row r="29" spans="1:7" ht="18" customHeight="1" x14ac:dyDescent="0.3">
      <c r="A29" s="51" t="s">
        <v>211</v>
      </c>
      <c r="B29" s="51"/>
      <c r="C29" s="51"/>
      <c r="D29" s="51"/>
      <c r="E29" s="51"/>
      <c r="F29" s="51"/>
      <c r="G29" s="51"/>
    </row>
    <row r="30" spans="1:7" ht="15" customHeight="1" x14ac:dyDescent="0.3">
      <c r="A30" s="6" t="s">
        <v>184</v>
      </c>
      <c r="C30" s="50">
        <f>Equity!C22</f>
        <v>5.4760763400202528E-2</v>
      </c>
      <c r="E30" s="6" t="s">
        <v>182</v>
      </c>
      <c r="G30" s="50">
        <f ca="1">Equity!C20</f>
        <v>5.6970658078764336E-2</v>
      </c>
    </row>
    <row r="31" spans="1:7" ht="15" customHeight="1" x14ac:dyDescent="0.3">
      <c r="A31" s="6" t="s">
        <v>212</v>
      </c>
      <c r="C31" s="49">
        <f>Equity!C23</f>
        <v>-105.91396951699578</v>
      </c>
      <c r="E31" s="6" t="s">
        <v>213</v>
      </c>
      <c r="G31" s="49">
        <f ca="1">Equity!C21</f>
        <v>-87.77279875410531</v>
      </c>
    </row>
    <row r="33" spans="1:10" ht="18" customHeight="1" x14ac:dyDescent="0.3">
      <c r="A33" s="51" t="s">
        <v>214</v>
      </c>
      <c r="B33" s="51"/>
      <c r="C33" s="51"/>
      <c r="D33" s="51"/>
      <c r="E33" s="51"/>
      <c r="F33" s="51"/>
      <c r="G33" s="51"/>
      <c r="H33" s="51"/>
      <c r="I33" s="51"/>
      <c r="J33" s="51"/>
    </row>
    <row r="34" spans="1:10" ht="25.5" customHeight="1" x14ac:dyDescent="0.3">
      <c r="A34" s="52" t="s">
        <v>215</v>
      </c>
      <c r="B34" s="52"/>
      <c r="C34" s="52"/>
      <c r="D34" s="52"/>
      <c r="E34" s="52"/>
      <c r="F34" s="52"/>
      <c r="G34" s="52"/>
      <c r="H34" s="52"/>
      <c r="I34" s="52"/>
      <c r="J34" s="52"/>
    </row>
    <row r="35" spans="1:10" ht="25.5" customHeight="1" x14ac:dyDescent="0.3">
      <c r="A35" s="52" t="s">
        <v>216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ht="25.5" customHeight="1" x14ac:dyDescent="0.3">
      <c r="A36" s="52" t="s">
        <v>217</v>
      </c>
      <c r="B36" s="52"/>
      <c r="C36" s="52"/>
      <c r="D36" s="52"/>
      <c r="E36" s="52"/>
      <c r="F36" s="52"/>
      <c r="G36" s="52"/>
      <c r="H36" s="52"/>
      <c r="I36" s="52"/>
      <c r="J36" s="52"/>
    </row>
    <row r="37" spans="1:10" ht="25.5" customHeight="1" x14ac:dyDescent="0.3">
      <c r="A37" s="52" t="s">
        <v>218</v>
      </c>
      <c r="B37" s="52"/>
      <c r="C37" s="52"/>
      <c r="D37" s="52"/>
      <c r="E37" s="52"/>
      <c r="F37" s="52"/>
      <c r="G37" s="52"/>
      <c r="H37" s="52"/>
      <c r="I37" s="52"/>
      <c r="J37" s="52"/>
    </row>
    <row r="38" spans="1:10" ht="25.5" customHeight="1" x14ac:dyDescent="0.3">
      <c r="A38" s="52" t="s">
        <v>219</v>
      </c>
      <c r="B38" s="52"/>
      <c r="C38" s="52"/>
      <c r="D38" s="52"/>
      <c r="E38" s="52"/>
      <c r="F38" s="52"/>
      <c r="G38" s="52"/>
      <c r="H38" s="52"/>
      <c r="I38" s="52"/>
      <c r="J38" s="52"/>
    </row>
    <row r="39" spans="1:10" ht="25.5" customHeight="1" x14ac:dyDescent="0.3">
      <c r="A39" s="52" t="s">
        <v>220</v>
      </c>
      <c r="B39" s="52"/>
      <c r="C39" s="52"/>
      <c r="D39" s="52"/>
      <c r="E39" s="52"/>
      <c r="F39" s="52"/>
      <c r="G39" s="52"/>
      <c r="H39" s="52"/>
      <c r="I39" s="52"/>
      <c r="J39" s="52"/>
    </row>
  </sheetData>
  <mergeCells count="22">
    <mergeCell ref="A4:C7"/>
    <mergeCell ref="D4:E7"/>
    <mergeCell ref="F4:G7"/>
    <mergeCell ref="H4:I7"/>
    <mergeCell ref="J4:K7"/>
    <mergeCell ref="A8:C8"/>
    <mergeCell ref="D8:E8"/>
    <mergeCell ref="F8:G8"/>
    <mergeCell ref="H8:I8"/>
    <mergeCell ref="J8:K8"/>
    <mergeCell ref="A11:C11"/>
    <mergeCell ref="E11:G11"/>
    <mergeCell ref="A20:C20"/>
    <mergeCell ref="E20:G20"/>
    <mergeCell ref="A29:G29"/>
    <mergeCell ref="A38:J38"/>
    <mergeCell ref="A39:J39"/>
    <mergeCell ref="A33:J33"/>
    <mergeCell ref="A34:J34"/>
    <mergeCell ref="A35:J35"/>
    <mergeCell ref="A36:J36"/>
    <mergeCell ref="A37:J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CAPEX_SU</vt:lpstr>
      <vt:lpstr>Revenue_OPEX</vt:lpstr>
      <vt:lpstr>Tax</vt:lpstr>
      <vt:lpstr>Project_CF</vt:lpstr>
      <vt:lpstr>Debt</vt:lpstr>
      <vt:lpstr>Equity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 Novrian Ahmad Lbn Gaol</cp:lastModifiedBy>
  <cp:revision>1</cp:revision>
  <dcterms:created xsi:type="dcterms:W3CDTF">2026-09-02T13:35:19Z</dcterms:created>
  <dcterms:modified xsi:type="dcterms:W3CDTF">2026-09-19T13:14:08Z</dcterms:modified>
  <dc:language>en-US</dc:language>
</cp:coreProperties>
</file>